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9"/>
  <workbookPr/>
  <mc:AlternateContent xmlns:mc="http://schemas.openxmlformats.org/markup-compatibility/2006">
    <mc:Choice Requires="x15">
      <x15ac:absPath xmlns:x15ac="http://schemas.microsoft.com/office/spreadsheetml/2010/11/ac" url="D:\ITVEDANT\EXCEL\LAB Excel\"/>
    </mc:Choice>
  </mc:AlternateContent>
  <xr:revisionPtr revIDLastSave="0" documentId="8_{04D1FB1C-895F-4339-A0A9-876B5D40F386}" xr6:coauthVersionLast="47" xr6:coauthVersionMax="47" xr10:uidLastSave="{00000000-0000-0000-0000-000000000000}"/>
  <bookViews>
    <workbookView xWindow="-108" yWindow="-108" windowWidth="23256" windowHeight="12456" activeTab="7" xr2:uid="{00000000-000D-0000-FFFF-FFFF00000000}"/>
  </bookViews>
  <sheets>
    <sheet name="Arithmetical" sheetId="2" r:id="rId1"/>
    <sheet name="Logical" sheetId="3" r:id="rId2"/>
    <sheet name="String Function" sheetId="4" r:id="rId3"/>
    <sheet name="Date Function" sheetId="5" r:id="rId4"/>
    <sheet name="Statistical Function" sheetId="6" r:id="rId5"/>
    <sheet name="Conditional Formating" sheetId="7" r:id="rId6"/>
    <sheet name="Named Range" sheetId="9" r:id="rId7"/>
    <sheet name="Errors" sheetId="10" r:id="rId8"/>
    <sheet name="Daily tasks" sheetId="8" r:id="rId9"/>
  </sheets>
  <definedNames>
    <definedName name="Sales">#REF!</definedName>
    <definedName name="Sales_2025">'Named Range'!$B$2:$B$10</definedName>
    <definedName name="Sales_2026">'Named Range'!$C$2:$C$10</definedName>
    <definedName name="Sales_2027">'Named Range'!$D$2:$D$10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9" l="1"/>
  <c r="I3" i="9"/>
  <c r="I2" i="9"/>
  <c r="J26" i="8"/>
  <c r="J27" i="8" s="1"/>
  <c r="J6" i="8"/>
  <c r="I6" i="8"/>
  <c r="H6" i="8"/>
  <c r="G6" i="8"/>
  <c r="F6" i="8"/>
  <c r="J5" i="8"/>
  <c r="I5" i="8"/>
  <c r="H5" i="8"/>
  <c r="G5" i="8"/>
  <c r="F5" i="8"/>
  <c r="J4" i="8"/>
  <c r="I4" i="8"/>
  <c r="H4" i="8"/>
  <c r="G4" i="8"/>
  <c r="F4" i="8"/>
  <c r="J3" i="8"/>
  <c r="I3" i="8"/>
  <c r="H3" i="8"/>
  <c r="G3" i="8"/>
  <c r="F3" i="8"/>
  <c r="J2" i="8"/>
  <c r="I2" i="8"/>
  <c r="H2" i="8"/>
  <c r="G2" i="8"/>
  <c r="F2" i="8"/>
  <c r="I20" i="6"/>
  <c r="I13" i="6" a="1"/>
  <c r="I13" i="6" s="1"/>
  <c r="I12" i="6"/>
  <c r="I11" i="6"/>
  <c r="I10" i="6"/>
  <c r="I9" i="6"/>
  <c r="B9" i="6"/>
  <c r="C9" i="6" s="1"/>
  <c r="C13" i="5"/>
  <c r="D13" i="5" s="1"/>
  <c r="D12" i="5"/>
  <c r="C11" i="5"/>
  <c r="D11" i="5" s="1"/>
  <c r="C10" i="5"/>
  <c r="D10" i="5" s="1"/>
  <c r="D9" i="5"/>
  <c r="C9" i="5"/>
  <c r="C8" i="5"/>
  <c r="D8" i="5" s="1"/>
  <c r="C7" i="5"/>
  <c r="D7" i="5" s="1"/>
  <c r="C6" i="5"/>
  <c r="D6" i="5" s="1"/>
  <c r="D4" i="5"/>
  <c r="D3" i="5"/>
  <c r="D16" i="4"/>
  <c r="D15" i="4"/>
  <c r="D14" i="4"/>
  <c r="D13" i="4"/>
  <c r="D12" i="4"/>
  <c r="D11" i="4"/>
  <c r="D10" i="4"/>
  <c r="D9" i="4"/>
  <c r="D7" i="4"/>
  <c r="D6" i="4"/>
  <c r="D5" i="4"/>
  <c r="D4" i="4"/>
  <c r="D3" i="4"/>
  <c r="I10" i="3"/>
  <c r="H10" i="3"/>
  <c r="G10" i="3"/>
  <c r="F10" i="3"/>
  <c r="E10" i="3"/>
  <c r="D10" i="3"/>
  <c r="C10" i="3"/>
  <c r="I9" i="3"/>
  <c r="H9" i="3"/>
  <c r="G9" i="3"/>
  <c r="F9" i="3"/>
  <c r="E9" i="3"/>
  <c r="D9" i="3"/>
  <c r="C9" i="3"/>
  <c r="I8" i="3"/>
  <c r="H8" i="3"/>
  <c r="G8" i="3"/>
  <c r="F8" i="3"/>
  <c r="E8" i="3"/>
  <c r="D8" i="3"/>
  <c r="C8" i="3"/>
  <c r="I7" i="3"/>
  <c r="H7" i="3"/>
  <c r="G7" i="3"/>
  <c r="F7" i="3"/>
  <c r="E7" i="3"/>
  <c r="D7" i="3"/>
  <c r="C7" i="3"/>
  <c r="I6" i="3"/>
  <c r="H6" i="3"/>
  <c r="G6" i="3"/>
  <c r="F6" i="3"/>
  <c r="E6" i="3"/>
  <c r="D6" i="3"/>
  <c r="C6" i="3"/>
  <c r="I5" i="3"/>
  <c r="H5" i="3"/>
  <c r="G5" i="3"/>
  <c r="F5" i="3"/>
  <c r="E5" i="3"/>
  <c r="D5" i="3"/>
  <c r="C5" i="3"/>
  <c r="I4" i="3"/>
  <c r="H4" i="3"/>
  <c r="G4" i="3"/>
  <c r="F4" i="3"/>
  <c r="E4" i="3"/>
  <c r="D4" i="3"/>
  <c r="C4" i="3"/>
  <c r="I3" i="3"/>
  <c r="H3" i="3"/>
  <c r="G3" i="3"/>
  <c r="F3" i="3"/>
  <c r="E3" i="3"/>
  <c r="D3" i="3"/>
  <c r="C3" i="3"/>
  <c r="I2" i="3"/>
  <c r="H2" i="3"/>
  <c r="G2" i="3"/>
  <c r="F2" i="3"/>
  <c r="E2" i="3"/>
  <c r="D2" i="3"/>
  <c r="C2" i="3"/>
  <c r="G27" i="2"/>
  <c r="F27" i="2"/>
  <c r="E27" i="2"/>
  <c r="D27" i="2"/>
  <c r="C27" i="2"/>
  <c r="N11" i="2"/>
  <c r="M11" i="2"/>
  <c r="L11" i="2"/>
  <c r="K11" i="2"/>
  <c r="J11" i="2"/>
  <c r="I11" i="2"/>
  <c r="H11" i="2"/>
  <c r="G11" i="2"/>
  <c r="F11" i="2"/>
  <c r="E11" i="2"/>
  <c r="D11" i="2"/>
  <c r="C11" i="2"/>
  <c r="N10" i="2"/>
  <c r="M10" i="2"/>
  <c r="L10" i="2"/>
  <c r="K10" i="2"/>
  <c r="J10" i="2"/>
  <c r="I10" i="2"/>
  <c r="H10" i="2"/>
  <c r="G10" i="2"/>
  <c r="F10" i="2"/>
  <c r="E10" i="2"/>
  <c r="D10" i="2"/>
  <c r="C10" i="2"/>
  <c r="N9" i="2"/>
  <c r="M9" i="2"/>
  <c r="L9" i="2"/>
  <c r="K9" i="2"/>
  <c r="J9" i="2"/>
  <c r="I9" i="2"/>
  <c r="H9" i="2"/>
  <c r="G9" i="2"/>
  <c r="F9" i="2"/>
  <c r="E9" i="2"/>
  <c r="D9" i="2"/>
  <c r="C9" i="2"/>
  <c r="N8" i="2"/>
  <c r="M8" i="2"/>
  <c r="L8" i="2"/>
  <c r="K8" i="2"/>
  <c r="J8" i="2"/>
  <c r="I8" i="2"/>
  <c r="H8" i="2"/>
  <c r="G8" i="2"/>
  <c r="F8" i="2"/>
  <c r="E8" i="2"/>
  <c r="D8" i="2"/>
  <c r="C8" i="2"/>
  <c r="N7" i="2"/>
  <c r="M7" i="2"/>
  <c r="L7" i="2"/>
  <c r="K7" i="2"/>
  <c r="J7" i="2"/>
  <c r="I7" i="2"/>
  <c r="H7" i="2"/>
  <c r="G7" i="2"/>
  <c r="F7" i="2"/>
  <c r="E7" i="2"/>
  <c r="D7" i="2"/>
  <c r="C7" i="2"/>
  <c r="N6" i="2"/>
  <c r="M6" i="2"/>
  <c r="L6" i="2"/>
  <c r="K6" i="2"/>
  <c r="J6" i="2"/>
  <c r="I6" i="2"/>
  <c r="H6" i="2"/>
  <c r="G6" i="2"/>
  <c r="F6" i="2"/>
  <c r="E6" i="2"/>
  <c r="D6" i="2"/>
  <c r="C6" i="2"/>
  <c r="N5" i="2"/>
  <c r="M5" i="2"/>
  <c r="L5" i="2"/>
  <c r="K5" i="2"/>
  <c r="J5" i="2"/>
  <c r="I5" i="2"/>
  <c r="H5" i="2"/>
  <c r="G5" i="2"/>
  <c r="F5" i="2"/>
  <c r="E5" i="2"/>
  <c r="D5" i="2"/>
  <c r="C5" i="2"/>
  <c r="N4" i="2"/>
  <c r="M4" i="2"/>
  <c r="L4" i="2"/>
  <c r="K4" i="2"/>
  <c r="J4" i="2"/>
  <c r="I4" i="2"/>
  <c r="H4" i="2"/>
  <c r="G4" i="2"/>
  <c r="F4" i="2"/>
  <c r="E4" i="2"/>
  <c r="D4" i="2"/>
  <c r="C4" i="2"/>
  <c r="N3" i="2"/>
  <c r="M3" i="2"/>
  <c r="L3" i="2"/>
  <c r="K3" i="2"/>
  <c r="J3" i="2"/>
  <c r="I3" i="2"/>
  <c r="H3" i="2"/>
  <c r="G3" i="2"/>
  <c r="F3" i="2"/>
  <c r="E3" i="2"/>
  <c r="D3" i="2"/>
  <c r="C3" i="2"/>
  <c r="B17" i="6" l="1"/>
  <c r="C17" i="6" s="1"/>
  <c r="B16" i="6"/>
  <c r="C16" i="6" s="1"/>
  <c r="B15" i="6"/>
  <c r="C15" i="6" s="1"/>
  <c r="B14" i="6"/>
  <c r="C14" i="6" s="1"/>
  <c r="B13" i="6"/>
  <c r="C13" i="6" s="1"/>
  <c r="B12" i="6"/>
  <c r="C12" i="6" s="1"/>
  <c r="B11" i="6"/>
  <c r="C11" i="6" s="1"/>
  <c r="B10" i="6"/>
  <c r="C10" i="6" s="1"/>
  <c r="I18" i="6" l="1"/>
  <c r="I19" i="6" s="1"/>
  <c r="I17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<sst xmlns="http://schemas.openxmlformats.org/spreadsheetml/2006/main" count="299" uniqueCount="248">
  <si>
    <t>Arithmetical functions</t>
  </si>
  <si>
    <t xml:space="preserve">A </t>
  </si>
  <si>
    <t>B</t>
  </si>
  <si>
    <t>Addition</t>
  </si>
  <si>
    <t>Subraction</t>
  </si>
  <si>
    <t>Product</t>
  </si>
  <si>
    <t>Multiplication</t>
  </si>
  <si>
    <t>Division</t>
  </si>
  <si>
    <t>Exponentioal</t>
  </si>
  <si>
    <t>Power</t>
  </si>
  <si>
    <t>Modulas</t>
  </si>
  <si>
    <t>Quociant</t>
  </si>
  <si>
    <t>Logerithm</t>
  </si>
  <si>
    <t>Square root</t>
  </si>
  <si>
    <t>Logg base 10</t>
  </si>
  <si>
    <t>Natural Logg</t>
  </si>
  <si>
    <t>Base value</t>
  </si>
  <si>
    <t>Euler number = 2.178</t>
  </si>
  <si>
    <t>Aggregated funtions</t>
  </si>
  <si>
    <t>Sum</t>
  </si>
  <si>
    <t>Average</t>
  </si>
  <si>
    <t>Count</t>
  </si>
  <si>
    <t>Minimum</t>
  </si>
  <si>
    <t>Maximum</t>
  </si>
  <si>
    <t>IF Function A</t>
  </si>
  <si>
    <t>IF Function B</t>
  </si>
  <si>
    <t>IF,AND</t>
  </si>
  <si>
    <t>IF,OR</t>
  </si>
  <si>
    <t>IF,NOT A</t>
  </si>
  <si>
    <t>Nested IF (A)</t>
  </si>
  <si>
    <t>IF ERROR()</t>
  </si>
  <si>
    <t>AND (A,B)</t>
  </si>
  <si>
    <t>OR (A,B)</t>
  </si>
  <si>
    <t>NOT(A)</t>
  </si>
  <si>
    <t>NOT(B)</t>
  </si>
  <si>
    <t>0 = FALSE</t>
  </si>
  <si>
    <t>1 = TRUE</t>
  </si>
  <si>
    <t>String Basic Functions</t>
  </si>
  <si>
    <t>Name</t>
  </si>
  <si>
    <t>Formula</t>
  </si>
  <si>
    <t>Example</t>
  </si>
  <si>
    <t>Result</t>
  </si>
  <si>
    <t>Explanation</t>
  </si>
  <si>
    <t>length</t>
  </si>
  <si>
    <t>len()</t>
  </si>
  <si>
    <t xml:space="preserve">      mIcRoSoFt ExCeL</t>
  </si>
  <si>
    <t>Counts the no of charectors in cell</t>
  </si>
  <si>
    <t>trim</t>
  </si>
  <si>
    <t>trim()</t>
  </si>
  <si>
    <t>Removes extra spaces except single space in betwwen charecters (Both leading and trailing function)</t>
  </si>
  <si>
    <t>uppercase</t>
  </si>
  <si>
    <t>Upper()</t>
  </si>
  <si>
    <t>Converts text to upper case</t>
  </si>
  <si>
    <t>lowercase</t>
  </si>
  <si>
    <t>Lower()</t>
  </si>
  <si>
    <t>Converts text to lowerr case</t>
  </si>
  <si>
    <t>proper</t>
  </si>
  <si>
    <t>Proper()</t>
  </si>
  <si>
    <t>Capitalize the first letter</t>
  </si>
  <si>
    <t>String Extraction Functions</t>
  </si>
  <si>
    <t>Left</t>
  </si>
  <si>
    <t>left()</t>
  </si>
  <si>
    <t>Hello World</t>
  </si>
  <si>
    <t>Extract specific no of charecters from start</t>
  </si>
  <si>
    <t>Right</t>
  </si>
  <si>
    <t>right()</t>
  </si>
  <si>
    <t>Extract specific no of charecters from end</t>
  </si>
  <si>
    <t>Middle</t>
  </si>
  <si>
    <t>middle()</t>
  </si>
  <si>
    <t>Extract substring from middle</t>
  </si>
  <si>
    <t>Find</t>
  </si>
  <si>
    <t>find()</t>
  </si>
  <si>
    <t>find the position of substring in case-sensitive</t>
  </si>
  <si>
    <t>Search</t>
  </si>
  <si>
    <t>search()</t>
  </si>
  <si>
    <t>find the position of substring in case-insensitive</t>
  </si>
  <si>
    <t>Replace</t>
  </si>
  <si>
    <t>replace()</t>
  </si>
  <si>
    <t xml:space="preserve">replace part of a string </t>
  </si>
  <si>
    <t>Substitue</t>
  </si>
  <si>
    <t>substitue()</t>
  </si>
  <si>
    <t>Concatenate</t>
  </si>
  <si>
    <t>concatenate()</t>
  </si>
  <si>
    <t>Helps to add two strings</t>
  </si>
  <si>
    <t>Generate current date and time</t>
  </si>
  <si>
    <t>Today</t>
  </si>
  <si>
    <t>today()</t>
  </si>
  <si>
    <t>-</t>
  </si>
  <si>
    <t>gives the the date from system</t>
  </si>
  <si>
    <t>Now</t>
  </si>
  <si>
    <t>now()</t>
  </si>
  <si>
    <t>gives the the date and time from system</t>
  </si>
  <si>
    <t>Extract date components</t>
  </si>
  <si>
    <t>Year</t>
  </si>
  <si>
    <t>year()</t>
  </si>
  <si>
    <t xml:space="preserve">Extract year from date </t>
  </si>
  <si>
    <t>Month</t>
  </si>
  <si>
    <t>month()</t>
  </si>
  <si>
    <t>Extract year from month</t>
  </si>
  <si>
    <t>Day</t>
  </si>
  <si>
    <t>Day()</t>
  </si>
  <si>
    <t>Extract year from day</t>
  </si>
  <si>
    <t>Weekday</t>
  </si>
  <si>
    <t>Weekday()</t>
  </si>
  <si>
    <t>Extract year from weekday</t>
  </si>
  <si>
    <t>Weeknumber</t>
  </si>
  <si>
    <t>Weeknum()</t>
  </si>
  <si>
    <t>gives the number od week we are</t>
  </si>
  <si>
    <t>Text</t>
  </si>
  <si>
    <t>Text()</t>
  </si>
  <si>
    <t>Gives the month or day in text format (hint MMM - oct,MMMM- october)</t>
  </si>
  <si>
    <t>Date if</t>
  </si>
  <si>
    <t>Datedif()</t>
  </si>
  <si>
    <t>gives the differance month and day wise (hint m-month,y-year, d-day))</t>
  </si>
  <si>
    <t>E Date</t>
  </si>
  <si>
    <t>edate()</t>
  </si>
  <si>
    <t>adds the no of months with referance date</t>
  </si>
  <si>
    <t>Population</t>
  </si>
  <si>
    <t>Overall data</t>
  </si>
  <si>
    <t>Sample</t>
  </si>
  <si>
    <t>Sub-set of data</t>
  </si>
  <si>
    <t>to test population we will take sample</t>
  </si>
  <si>
    <t>Deviation</t>
  </si>
  <si>
    <t>Squared Deviation</t>
  </si>
  <si>
    <t>Statistical term</t>
  </si>
  <si>
    <t>Function</t>
  </si>
  <si>
    <t>Range</t>
  </si>
  <si>
    <t>Applied</t>
  </si>
  <si>
    <t>Description</t>
  </si>
  <si>
    <t>Rules</t>
  </si>
  <si>
    <t>Mean</t>
  </si>
  <si>
    <t>Average()</t>
  </si>
  <si>
    <t>Multiple values</t>
  </si>
  <si>
    <t>Total value/count</t>
  </si>
  <si>
    <t>finds average value</t>
  </si>
  <si>
    <t>Median</t>
  </si>
  <si>
    <t>median()</t>
  </si>
  <si>
    <t>Sort values in ascending then -&gt; (n+1)/2 = xth position of median value</t>
  </si>
  <si>
    <t>middle value</t>
  </si>
  <si>
    <t>Sort the values ascending -&gt; formula</t>
  </si>
  <si>
    <t>Mode</t>
  </si>
  <si>
    <t>mode()</t>
  </si>
  <si>
    <t>Repeated value</t>
  </si>
  <si>
    <t>Mode.sngl()</t>
  </si>
  <si>
    <t>Most repeated value</t>
  </si>
  <si>
    <t>Multi-Mode</t>
  </si>
  <si>
    <t>Mode.mult()</t>
  </si>
  <si>
    <t>Gives multiple repeated values</t>
  </si>
  <si>
    <t>Should select more cells horizontally -&gt; function - &gt; ctrl=swift-enter</t>
  </si>
  <si>
    <t>Single value</t>
  </si>
  <si>
    <t>Value - mean</t>
  </si>
  <si>
    <t>Finds the differance between value and mean</t>
  </si>
  <si>
    <t>Square dviation</t>
  </si>
  <si>
    <t>(Value - mean)^2</t>
  </si>
  <si>
    <t>Squered value of Deviation</t>
  </si>
  <si>
    <t>Variance</t>
  </si>
  <si>
    <t>var.p() or var.s()</t>
  </si>
  <si>
    <t>Sum(Square Deviation)/n</t>
  </si>
  <si>
    <t>Finds the average of Square deviation</t>
  </si>
  <si>
    <t>Square root of variance</t>
  </si>
  <si>
    <t>Standard deviation</t>
  </si>
  <si>
    <t>stdev.p() or stdev.s</t>
  </si>
  <si>
    <t>n = total no of element</t>
  </si>
  <si>
    <t>Deviation mean difference between value adn mean value</t>
  </si>
  <si>
    <t>Jan</t>
  </si>
  <si>
    <t>Feb</t>
  </si>
  <si>
    <t>Mar</t>
  </si>
  <si>
    <t>Apr</t>
  </si>
  <si>
    <t>May</t>
  </si>
  <si>
    <t>Jun</t>
  </si>
  <si>
    <t>Product1</t>
  </si>
  <si>
    <t>Product2</t>
  </si>
  <si>
    <t>Product3</t>
  </si>
  <si>
    <t>Product4</t>
  </si>
  <si>
    <t>Product5</t>
  </si>
  <si>
    <t>Product6</t>
  </si>
  <si>
    <t>Product7</t>
  </si>
  <si>
    <t>A</t>
  </si>
  <si>
    <t>C</t>
  </si>
  <si>
    <t>Select the range -&gt; Rename it -&gt; use in formulas instead selecting rang use the name</t>
  </si>
  <si>
    <t>Formula ribbon -&gt; Name manager -&gt; create named range -&gt; use it for caluculation</t>
  </si>
  <si>
    <t>For Huge dataset Select entire data -&gt; Formula ribbon -&gt; Create from selecton -&gt; select top row -&gt; creats range name for every column</t>
  </si>
  <si>
    <t>S.no</t>
  </si>
  <si>
    <t>Error</t>
  </si>
  <si>
    <t>Error Name</t>
  </si>
  <si>
    <t>Zero Division Error</t>
  </si>
  <si>
    <t>Zero Div Error</t>
  </si>
  <si>
    <t>Not Available</t>
  </si>
  <si>
    <t>Andrew</t>
  </si>
  <si>
    <t>Value Not found</t>
  </si>
  <si>
    <t>Value Error</t>
  </si>
  <si>
    <t>abc</t>
  </si>
  <si>
    <t>Value error</t>
  </si>
  <si>
    <t>Invalid Reference</t>
  </si>
  <si>
    <t>Invalid function name</t>
  </si>
  <si>
    <t>Invalid Numerical Value</t>
  </si>
  <si>
    <t>Invalid range error</t>
  </si>
  <si>
    <t>Sales</t>
  </si>
  <si>
    <t>Attendance</t>
  </si>
  <si>
    <t>Traning Status</t>
  </si>
  <si>
    <t>Anand</t>
  </si>
  <si>
    <t>Yes</t>
  </si>
  <si>
    <t>Babu</t>
  </si>
  <si>
    <t>No</t>
  </si>
  <si>
    <t>Charles</t>
  </si>
  <si>
    <t>David</t>
  </si>
  <si>
    <t>Eva</t>
  </si>
  <si>
    <t>Flag if an employee hit a basic sales benchmark of 10,000.</t>
  </si>
  <si>
    <t>→ Sales &gt;= 10,000 → Meet Target, else → Missed Target.</t>
  </si>
  <si>
    <t>Reward a bonus only if they achieved both high sales &gt;= 10,000 and completed their training.</t>
  </si>
  <si>
    <t>Identify if an employee is eligible for general review if they have either lower sales &lt; 9,000 or lower attendance &lt; 0.90.</t>
  </si>
  <si>
    <t>Call out employees who still have pending milestones (training not taken).</t>
  </si>
  <si>
    <t>Assign performance tiers based on three levels of sales volume:</t>
  </si>
  <si>
    <t>→ Sales &gt;= 12,000 → Elite</t>
  </si>
  <si>
    <t>→ Sales &gt;= 8,000 → Standard</t>
  </si>
  <si>
    <t>→ Sales &lt; 8,000 → Needs Improvement</t>
  </si>
  <si>
    <t>Price</t>
  </si>
  <si>
    <t>Qunatity</t>
  </si>
  <si>
    <t>Discount</t>
  </si>
  <si>
    <t>Formulas -&gt; Cell Dependancy</t>
  </si>
  <si>
    <t>To check the cell dependance</t>
  </si>
  <si>
    <t>Total amount</t>
  </si>
  <si>
    <t>Net Amount</t>
  </si>
  <si>
    <t>Chennai</t>
  </si>
  <si>
    <t>ID</t>
  </si>
  <si>
    <t>First name</t>
  </si>
  <si>
    <t>City</t>
  </si>
  <si>
    <t>Email</t>
  </si>
  <si>
    <t>Bangalore</t>
  </si>
  <si>
    <t>John Smith</t>
  </si>
  <si>
    <t>ID-2024-NY-Active</t>
  </si>
  <si>
    <t>John</t>
  </si>
  <si>
    <t>NY</t>
  </si>
  <si>
    <t>S.john@company.com</t>
  </si>
  <si>
    <t>Pune</t>
  </si>
  <si>
    <t>Sarah jenkins</t>
  </si>
  <si>
    <t>ID-2025-CA-Pending</t>
  </si>
  <si>
    <t>Sarah</t>
  </si>
  <si>
    <t>CA</t>
  </si>
  <si>
    <t>j.sarah@company.com</t>
  </si>
  <si>
    <t>Flashfill</t>
  </si>
  <si>
    <t>Shorcut - Ctrl+E</t>
  </si>
  <si>
    <t>mumbai</t>
  </si>
  <si>
    <t>Michael chang</t>
  </si>
  <si>
    <t>ID-2025-TX-Active</t>
  </si>
  <si>
    <t>Michael</t>
  </si>
  <si>
    <t>TX</t>
  </si>
  <si>
    <t>c.michael@company.com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</si>
</sst>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>
    <font>
      <sz val="10"/>
      <color rgb="FF000000"/>
      <name val="Arial"/>
      <scheme val="minor"/>
    </font>
    <font>
      <b/>
      <sz val="11"/>
      <color theme="1"/>
      <name val="Calibri"/>
      <scheme val="minor"/>
    </font>
    <font>
      <u/>
      <sz val="10"/>
      <color theme="10"/>
      <name val="Arial"/>
      <scheme val="minor"/>
    </font>
    <font>
      <sz val="11"/>
      <color rgb="FF242424"/>
      <name val="Aptos Narrow"/>
      <charset val="1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5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14" fontId="0" fillId="0" borderId="1" xfId="0" applyNumberFormat="1" applyBorder="1"/>
    <xf numFmtId="22" fontId="0" fillId="0" borderId="1" xfId="0" applyNumberFormat="1" applyBorder="1"/>
    <xf numFmtId="0" fontId="0" fillId="0" borderId="5" xfId="0" applyBorder="1"/>
    <xf numFmtId="14" fontId="0" fillId="0" borderId="5" xfId="0" applyNumberFormat="1" applyBorder="1"/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1" xfId="0" applyFill="1" applyBorder="1"/>
    <xf numFmtId="0" fontId="2" fillId="0" borderId="1" xfId="1" applyBorder="1" applyAlignment="1"/>
    <xf numFmtId="0" fontId="0" fillId="3" borderId="0" xfId="0" applyFill="1"/>
    <xf numFmtId="0" fontId="1" fillId="0" borderId="5" xfId="0" applyFont="1" applyBorder="1"/>
    <xf numFmtId="0" fontId="0" fillId="0" borderId="2" xfId="0" applyBorder="1"/>
    <xf numFmtId="0" fontId="3" fillId="0" borderId="1" xfId="0" applyFont="1" applyBorder="1"/>
    <xf numFmtId="0" fontId="0" fillId="0" borderId="4" xfId="0" applyBorder="1"/>
  </cellXfs>
  <cellStyles count="2">
    <cellStyle name="Hyperlink" xfId="1" builtinId="8"/>
    <cellStyle name="Normal" xfId="0" builtinId="0"/>
  </cellStyles>
  <dxfs count="3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mailto:c.michael@company.com" TargetMode="External"/><Relationship Id="rId2" Type="http://schemas.openxmlformats.org/officeDocument/2006/relationships/hyperlink" Target="mailto:j.sarah@company.com" TargetMode="External"/><Relationship Id="rId1" Type="http://schemas.openxmlformats.org/officeDocument/2006/relationships/hyperlink" Target="mailto:S.john@company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4594F-9442-4578-9429-765A8C45F15C}">
  <dimension ref="A1:N35"/>
  <sheetViews>
    <sheetView workbookViewId="0">
      <selection activeCell="M19" sqref="M19"/>
    </sheetView>
  </sheetViews>
  <sheetFormatPr defaultRowHeight="12.75"/>
  <cols>
    <col min="1" max="1" width="19.140625" bestFit="1" customWidth="1"/>
    <col min="2" max="2" width="3.140625" bestFit="1" customWidth="1"/>
    <col min="3" max="3" width="7.85546875" bestFit="1" customWidth="1"/>
    <col min="4" max="4" width="10" bestFit="1" customWidth="1"/>
    <col min="5" max="5" width="7.5703125" bestFit="1" customWidth="1"/>
    <col min="6" max="6" width="11.85546875" bestFit="1" customWidth="1"/>
    <col min="7" max="7" width="12.140625" bestFit="1" customWidth="1"/>
    <col min="8" max="8" width="11.85546875" bestFit="1" customWidth="1"/>
    <col min="9" max="9" width="6.42578125" bestFit="1" customWidth="1"/>
    <col min="10" max="10" width="8.140625" bestFit="1" customWidth="1"/>
    <col min="11" max="11" width="8.5703125" bestFit="1" customWidth="1"/>
    <col min="12" max="12" width="12.42578125" bestFit="1" customWidth="1"/>
    <col min="13" max="13" width="19.28515625" bestFit="1" customWidth="1"/>
    <col min="14" max="14" width="12.140625" bestFit="1" customWidth="1"/>
  </cols>
  <sheetData>
    <row r="1" spans="1:14">
      <c r="A1" t="s">
        <v>0</v>
      </c>
    </row>
    <row r="2" spans="1:14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12</v>
      </c>
      <c r="N2" t="s">
        <v>13</v>
      </c>
    </row>
    <row r="3" spans="1:14">
      <c r="A3">
        <v>58</v>
      </c>
      <c r="B3">
        <v>56</v>
      </c>
      <c r="C3">
        <f>A3+B3</f>
        <v>114</v>
      </c>
      <c r="D3">
        <f>A3-B3</f>
        <v>2</v>
      </c>
      <c r="E3">
        <f>PRODUCT(A3,B3)</f>
        <v>3248</v>
      </c>
      <c r="F3">
        <f>A3*B3</f>
        <v>3248</v>
      </c>
      <c r="G3">
        <f>A3/B3</f>
        <v>1.0357142857142858</v>
      </c>
      <c r="H3">
        <f>A3^2</f>
        <v>3364</v>
      </c>
      <c r="I3">
        <f>POWER(A3,2)</f>
        <v>3364</v>
      </c>
      <c r="J3">
        <f>MOD(A3,5)</f>
        <v>3</v>
      </c>
      <c r="K3">
        <f>QUOTIENT(A3,5)</f>
        <v>11</v>
      </c>
      <c r="L3">
        <f>LOG(A3,B3)</f>
        <v>1.0087175786135747</v>
      </c>
      <c r="M3">
        <f>LN(100)</f>
        <v>4.6051701859880918</v>
      </c>
      <c r="N3">
        <f>SQRT(A3)</f>
        <v>7.6157731058639087</v>
      </c>
    </row>
    <row r="4" spans="1:14">
      <c r="A4">
        <v>73</v>
      </c>
      <c r="B4">
        <v>36</v>
      </c>
      <c r="C4">
        <f t="shared" ref="C4:C11" si="0">A4+B4</f>
        <v>109</v>
      </c>
      <c r="D4">
        <f t="shared" ref="D4:D11" si="1">A4-B4</f>
        <v>37</v>
      </c>
      <c r="E4">
        <f t="shared" ref="E4:E11" si="2">PRODUCT(A4,B4)</f>
        <v>2628</v>
      </c>
      <c r="F4">
        <f t="shared" ref="F4:F11" si="3">A4*B4</f>
        <v>2628</v>
      </c>
      <c r="G4">
        <f t="shared" ref="G4:G11" si="4">A4/B4</f>
        <v>2.0277777777777777</v>
      </c>
      <c r="H4">
        <f t="shared" ref="H4:H11" si="5">A4^2</f>
        <v>5329</v>
      </c>
      <c r="I4">
        <f t="shared" ref="I4:I11" si="6">POWER(A4,2)</f>
        <v>5329</v>
      </c>
      <c r="J4">
        <f t="shared" ref="J4:J11" si="7">MOD(A4,5)</f>
        <v>3</v>
      </c>
      <c r="K4">
        <f t="shared" ref="K4:K11" si="8">QUOTIENT(A4,5)</f>
        <v>14</v>
      </c>
      <c r="L4">
        <f t="shared" ref="L4:L11" si="9">LOG(A4,B4)</f>
        <v>1.1972755034460214</v>
      </c>
      <c r="M4">
        <f t="shared" ref="M4:M11" si="10">LN(100)</f>
        <v>4.6051701859880918</v>
      </c>
      <c r="N4">
        <f t="shared" ref="N4:N11" si="11">SQRT(A4)</f>
        <v>8.5440037453175304</v>
      </c>
    </row>
    <row r="5" spans="1:14">
      <c r="A5">
        <v>83</v>
      </c>
      <c r="B5">
        <v>84</v>
      </c>
      <c r="C5">
        <f t="shared" si="0"/>
        <v>167</v>
      </c>
      <c r="D5">
        <f t="shared" si="1"/>
        <v>-1</v>
      </c>
      <c r="E5">
        <f t="shared" si="2"/>
        <v>6972</v>
      </c>
      <c r="F5">
        <f t="shared" si="3"/>
        <v>6972</v>
      </c>
      <c r="G5">
        <f t="shared" si="4"/>
        <v>0.98809523809523814</v>
      </c>
      <c r="H5">
        <f t="shared" si="5"/>
        <v>6889</v>
      </c>
      <c r="I5">
        <f t="shared" si="6"/>
        <v>6889</v>
      </c>
      <c r="J5">
        <f t="shared" si="7"/>
        <v>3</v>
      </c>
      <c r="K5">
        <f t="shared" si="8"/>
        <v>16</v>
      </c>
      <c r="L5">
        <f t="shared" si="9"/>
        <v>0.99729706923341055</v>
      </c>
      <c r="M5">
        <f t="shared" si="10"/>
        <v>4.6051701859880918</v>
      </c>
      <c r="N5">
        <f t="shared" si="11"/>
        <v>9.1104335791442992</v>
      </c>
    </row>
    <row r="6" spans="1:14">
      <c r="A6">
        <v>34</v>
      </c>
      <c r="B6">
        <v>99</v>
      </c>
      <c r="C6">
        <f t="shared" si="0"/>
        <v>133</v>
      </c>
      <c r="D6">
        <f t="shared" si="1"/>
        <v>-65</v>
      </c>
      <c r="E6">
        <f t="shared" si="2"/>
        <v>3366</v>
      </c>
      <c r="F6">
        <f t="shared" si="3"/>
        <v>3366</v>
      </c>
      <c r="G6">
        <f t="shared" si="4"/>
        <v>0.34343434343434343</v>
      </c>
      <c r="H6">
        <f t="shared" si="5"/>
        <v>1156</v>
      </c>
      <c r="I6">
        <f t="shared" si="6"/>
        <v>1156</v>
      </c>
      <c r="J6">
        <f t="shared" si="7"/>
        <v>4</v>
      </c>
      <c r="K6">
        <f t="shared" si="8"/>
        <v>6</v>
      </c>
      <c r="L6">
        <f t="shared" si="9"/>
        <v>0.76741426548708525</v>
      </c>
      <c r="M6">
        <f t="shared" si="10"/>
        <v>4.6051701859880918</v>
      </c>
      <c r="N6">
        <f t="shared" si="11"/>
        <v>5.8309518948453007</v>
      </c>
    </row>
    <row r="7" spans="1:14">
      <c r="A7">
        <v>33</v>
      </c>
      <c r="B7">
        <v>96</v>
      </c>
      <c r="C7">
        <f t="shared" si="0"/>
        <v>129</v>
      </c>
      <c r="D7">
        <f t="shared" si="1"/>
        <v>-63</v>
      </c>
      <c r="E7">
        <f t="shared" si="2"/>
        <v>3168</v>
      </c>
      <c r="F7">
        <f t="shared" si="3"/>
        <v>3168</v>
      </c>
      <c r="G7">
        <f t="shared" si="4"/>
        <v>0.34375</v>
      </c>
      <c r="H7">
        <f t="shared" si="5"/>
        <v>1089</v>
      </c>
      <c r="I7">
        <f t="shared" si="6"/>
        <v>1089</v>
      </c>
      <c r="J7">
        <f t="shared" si="7"/>
        <v>3</v>
      </c>
      <c r="K7">
        <f t="shared" si="8"/>
        <v>6</v>
      </c>
      <c r="L7">
        <f t="shared" si="9"/>
        <v>0.76604750882119887</v>
      </c>
      <c r="M7">
        <f t="shared" si="10"/>
        <v>4.6051701859880918</v>
      </c>
      <c r="N7">
        <f t="shared" si="11"/>
        <v>5.7445626465380286</v>
      </c>
    </row>
    <row r="8" spans="1:14">
      <c r="A8">
        <v>3</v>
      </c>
      <c r="B8">
        <v>58</v>
      </c>
      <c r="C8">
        <f t="shared" si="0"/>
        <v>61</v>
      </c>
      <c r="D8">
        <f t="shared" si="1"/>
        <v>-55</v>
      </c>
      <c r="E8">
        <f t="shared" si="2"/>
        <v>174</v>
      </c>
      <c r="F8">
        <f t="shared" si="3"/>
        <v>174</v>
      </c>
      <c r="G8">
        <f t="shared" si="4"/>
        <v>5.1724137931034482E-2</v>
      </c>
      <c r="H8">
        <f t="shared" si="5"/>
        <v>9</v>
      </c>
      <c r="I8">
        <f t="shared" si="6"/>
        <v>9</v>
      </c>
      <c r="J8">
        <f t="shared" si="7"/>
        <v>3</v>
      </c>
      <c r="K8">
        <f t="shared" si="8"/>
        <v>0</v>
      </c>
      <c r="L8">
        <f t="shared" si="9"/>
        <v>0.27056463686711568</v>
      </c>
      <c r="M8">
        <f t="shared" si="10"/>
        <v>4.6051701859880918</v>
      </c>
      <c r="N8">
        <f t="shared" si="11"/>
        <v>1.7320508075688772</v>
      </c>
    </row>
    <row r="9" spans="1:14">
      <c r="A9">
        <v>83</v>
      </c>
      <c r="B9">
        <v>70</v>
      </c>
      <c r="C9">
        <f t="shared" si="0"/>
        <v>153</v>
      </c>
      <c r="D9">
        <f t="shared" si="1"/>
        <v>13</v>
      </c>
      <c r="E9">
        <f t="shared" si="2"/>
        <v>5810</v>
      </c>
      <c r="F9">
        <f t="shared" si="3"/>
        <v>5810</v>
      </c>
      <c r="G9">
        <f t="shared" si="4"/>
        <v>1.1857142857142857</v>
      </c>
      <c r="H9">
        <f t="shared" si="5"/>
        <v>6889</v>
      </c>
      <c r="I9">
        <f t="shared" si="6"/>
        <v>6889</v>
      </c>
      <c r="J9">
        <f t="shared" si="7"/>
        <v>3</v>
      </c>
      <c r="K9">
        <f t="shared" si="8"/>
        <v>16</v>
      </c>
      <c r="L9">
        <f t="shared" si="9"/>
        <v>1.0400954587547258</v>
      </c>
      <c r="M9">
        <f t="shared" si="10"/>
        <v>4.6051701859880918</v>
      </c>
      <c r="N9">
        <f t="shared" si="11"/>
        <v>9.1104335791442992</v>
      </c>
    </row>
    <row r="10" spans="1:14">
      <c r="A10">
        <v>43</v>
      </c>
      <c r="B10">
        <v>57</v>
      </c>
      <c r="C10">
        <f t="shared" si="0"/>
        <v>100</v>
      </c>
      <c r="D10">
        <f t="shared" si="1"/>
        <v>-14</v>
      </c>
      <c r="E10">
        <f t="shared" si="2"/>
        <v>2451</v>
      </c>
      <c r="F10">
        <f t="shared" si="3"/>
        <v>2451</v>
      </c>
      <c r="G10">
        <f t="shared" si="4"/>
        <v>0.75438596491228072</v>
      </c>
      <c r="H10">
        <f t="shared" si="5"/>
        <v>1849</v>
      </c>
      <c r="I10">
        <f t="shared" si="6"/>
        <v>1849</v>
      </c>
      <c r="J10">
        <f t="shared" si="7"/>
        <v>3</v>
      </c>
      <c r="K10">
        <f t="shared" si="8"/>
        <v>8</v>
      </c>
      <c r="L10">
        <f t="shared" si="9"/>
        <v>0.93028751468394144</v>
      </c>
      <c r="M10">
        <f t="shared" si="10"/>
        <v>4.6051701859880918</v>
      </c>
      <c r="N10">
        <f t="shared" si="11"/>
        <v>6.5574385243020004</v>
      </c>
    </row>
    <row r="11" spans="1:14">
      <c r="A11">
        <v>62</v>
      </c>
      <c r="B11">
        <v>4</v>
      </c>
      <c r="C11">
        <f t="shared" si="0"/>
        <v>66</v>
      </c>
      <c r="D11">
        <f t="shared" si="1"/>
        <v>58</v>
      </c>
      <c r="E11">
        <f t="shared" si="2"/>
        <v>248</v>
      </c>
      <c r="F11">
        <f t="shared" si="3"/>
        <v>248</v>
      </c>
      <c r="G11">
        <f t="shared" si="4"/>
        <v>15.5</v>
      </c>
      <c r="H11">
        <f t="shared" si="5"/>
        <v>3844</v>
      </c>
      <c r="I11">
        <f t="shared" si="6"/>
        <v>3844</v>
      </c>
      <c r="J11">
        <f t="shared" si="7"/>
        <v>2</v>
      </c>
      <c r="K11">
        <f t="shared" si="8"/>
        <v>12</v>
      </c>
      <c r="L11">
        <f t="shared" si="9"/>
        <v>2.9770981551934379</v>
      </c>
      <c r="M11">
        <f t="shared" si="10"/>
        <v>4.6051701859880918</v>
      </c>
      <c r="N11">
        <f t="shared" si="11"/>
        <v>7.8740078740118111</v>
      </c>
    </row>
    <row r="13" spans="1:14">
      <c r="L13" t="s">
        <v>14</v>
      </c>
      <c r="M13" t="s">
        <v>15</v>
      </c>
    </row>
    <row r="14" spans="1:14">
      <c r="L14" t="s">
        <v>16</v>
      </c>
      <c r="M14" t="s">
        <v>16</v>
      </c>
    </row>
    <row r="15" spans="1:14">
      <c r="L15">
        <v>10</v>
      </c>
      <c r="M15" t="s">
        <v>17</v>
      </c>
    </row>
    <row r="25" spans="1:7">
      <c r="A25" t="s">
        <v>18</v>
      </c>
    </row>
    <row r="26" spans="1:7">
      <c r="A26" t="s">
        <v>1</v>
      </c>
      <c r="C26" t="s">
        <v>19</v>
      </c>
      <c r="D26" t="s">
        <v>20</v>
      </c>
      <c r="E26" t="s">
        <v>21</v>
      </c>
      <c r="F26" t="s">
        <v>22</v>
      </c>
      <c r="G26" t="s">
        <v>23</v>
      </c>
    </row>
    <row r="27" spans="1:7">
      <c r="A27">
        <v>58</v>
      </c>
      <c r="C27">
        <f>SUM(A27:A35)</f>
        <v>562</v>
      </c>
      <c r="D27" s="1">
        <f>ROUND(AVERAGE(A27:A35),2)</f>
        <v>62.44</v>
      </c>
      <c r="E27">
        <f>COUNT(A27:A35)</f>
        <v>9</v>
      </c>
      <c r="F27">
        <f>MIN(A27:A35)</f>
        <v>33</v>
      </c>
      <c r="G27">
        <f>MAX(A27:A35)</f>
        <v>93</v>
      </c>
    </row>
    <row r="28" spans="1:7">
      <c r="A28">
        <v>73</v>
      </c>
    </row>
    <row r="29" spans="1:7">
      <c r="A29">
        <v>83</v>
      </c>
    </row>
    <row r="30" spans="1:7">
      <c r="A30">
        <v>34</v>
      </c>
    </row>
    <row r="31" spans="1:7">
      <c r="A31">
        <v>33</v>
      </c>
    </row>
    <row r="32" spans="1:7">
      <c r="A32">
        <v>93</v>
      </c>
    </row>
    <row r="33" spans="1:1">
      <c r="A33">
        <v>83</v>
      </c>
    </row>
    <row r="34" spans="1:1">
      <c r="A34">
        <v>43</v>
      </c>
    </row>
    <row r="35" spans="1:1">
      <c r="A35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28429-A0F9-4F78-8179-796FE2A1AF87}">
  <dimension ref="A1:I19"/>
  <sheetViews>
    <sheetView workbookViewId="0">
      <selection sqref="A1:K21"/>
    </sheetView>
  </sheetViews>
  <sheetFormatPr defaultRowHeight="12.75"/>
  <cols>
    <col min="1" max="2" width="3.140625" bestFit="1" customWidth="1"/>
    <col min="3" max="3" width="12.7109375" bestFit="1" customWidth="1"/>
    <col min="4" max="4" width="12.5703125" bestFit="1" customWidth="1"/>
    <col min="5" max="5" width="10.5703125" bestFit="1" customWidth="1"/>
    <col min="6" max="6" width="7.5703125" bestFit="1" customWidth="1"/>
    <col min="7" max="7" width="9" bestFit="1" customWidth="1"/>
    <col min="8" max="8" width="12.5703125" bestFit="1" customWidth="1"/>
    <col min="9" max="9" width="19.85546875" bestFit="1" customWidth="1"/>
  </cols>
  <sheetData>
    <row r="1" spans="1:9" ht="15">
      <c r="A1" s="2" t="s">
        <v>1</v>
      </c>
      <c r="B1" s="2" t="s">
        <v>2</v>
      </c>
      <c r="C1" s="2" t="s">
        <v>24</v>
      </c>
      <c r="D1" s="2" t="s">
        <v>25</v>
      </c>
      <c r="E1" s="2" t="s">
        <v>26</v>
      </c>
      <c r="F1" s="2" t="s">
        <v>27</v>
      </c>
      <c r="G1" s="2" t="s">
        <v>28</v>
      </c>
      <c r="H1" s="2" t="s">
        <v>29</v>
      </c>
      <c r="I1" s="2" t="s">
        <v>30</v>
      </c>
    </row>
    <row r="2" spans="1:9">
      <c r="A2" s="3">
        <v>58</v>
      </c>
      <c r="B2" s="3">
        <v>56</v>
      </c>
      <c r="C2" s="3" t="str">
        <f>IF(A2&gt;=50,"Pass","Fail")</f>
        <v>Pass</v>
      </c>
      <c r="D2" s="3" t="str">
        <f>IF(B2&gt;=50,"Pass","Fail")</f>
        <v>Pass</v>
      </c>
      <c r="E2" s="3" t="str">
        <f>IF(AND(A2&gt;=50,B2&gt;=50),"Eligible","Not Eligible")</f>
        <v>Eligible</v>
      </c>
      <c r="F2" s="3" t="str">
        <f>IF(OR(A2&gt;=50,B2&gt;=50),"Eligible","Not Eligible")</f>
        <v>Eligible</v>
      </c>
      <c r="G2" s="3" t="str">
        <f>IF(NOT(A2&gt;=50),"Yes","No")</f>
        <v>No</v>
      </c>
      <c r="H2" s="3" t="str">
        <f>IF(A2&gt;=90,"A",IF(A2&gt;=75,"B",IF(A2&gt;=50,"C","F")))</f>
        <v>C</v>
      </c>
      <c r="I2" s="3">
        <f>IFERROR(A2/B2,"Connot Divide by Zero")</f>
        <v>1.0357142857142858</v>
      </c>
    </row>
    <row r="3" spans="1:9">
      <c r="A3" s="3">
        <v>73</v>
      </c>
      <c r="B3" s="3">
        <v>36</v>
      </c>
      <c r="C3" s="3" t="str">
        <f t="shared" ref="C3:D10" si="0">IF(A3&gt;=50,"Pass","Fail")</f>
        <v>Pass</v>
      </c>
      <c r="D3" s="3" t="str">
        <f t="shared" si="0"/>
        <v>Fail</v>
      </c>
      <c r="E3" s="3" t="str">
        <f t="shared" ref="E3:E10" si="1">IF(AND(A3&gt;=50,B3&gt;=50),"Eligible","Not Eligible")</f>
        <v>Not Eligible</v>
      </c>
      <c r="F3" s="3" t="str">
        <f t="shared" ref="F3:F10" si="2">IF(OR(A3&gt;=50,B3&gt;=50),"Eligible","Not Eligible")</f>
        <v>Eligible</v>
      </c>
      <c r="G3" s="3" t="str">
        <f t="shared" ref="G3:G10" si="3">IF(NOT(A3&gt;=50),"Yes","No")</f>
        <v>No</v>
      </c>
      <c r="H3" s="3" t="str">
        <f t="shared" ref="H3:H10" si="4">IF(A3&gt;=90,"A",IF(A3&gt;=75,"B",IF(A3&gt;=50,"C","F")))</f>
        <v>C</v>
      </c>
      <c r="I3" s="3">
        <f t="shared" ref="I3:I10" si="5">IFERROR(A3/B3,"Connot Divide by Zero")</f>
        <v>2.0277777777777777</v>
      </c>
    </row>
    <row r="4" spans="1:9">
      <c r="A4" s="3">
        <v>83</v>
      </c>
      <c r="B4" s="3">
        <v>84</v>
      </c>
      <c r="C4" s="3" t="str">
        <f t="shared" si="0"/>
        <v>Pass</v>
      </c>
      <c r="D4" s="3" t="str">
        <f t="shared" si="0"/>
        <v>Pass</v>
      </c>
      <c r="E4" s="3" t="str">
        <f t="shared" si="1"/>
        <v>Eligible</v>
      </c>
      <c r="F4" s="3" t="str">
        <f t="shared" si="2"/>
        <v>Eligible</v>
      </c>
      <c r="G4" s="3" t="str">
        <f t="shared" si="3"/>
        <v>No</v>
      </c>
      <c r="H4" s="3" t="str">
        <f t="shared" si="4"/>
        <v>B</v>
      </c>
      <c r="I4" s="3">
        <f t="shared" si="5"/>
        <v>0.98809523809523814</v>
      </c>
    </row>
    <row r="5" spans="1:9">
      <c r="A5" s="3">
        <v>34</v>
      </c>
      <c r="B5" s="3">
        <v>99</v>
      </c>
      <c r="C5" s="3" t="str">
        <f t="shared" si="0"/>
        <v>Fail</v>
      </c>
      <c r="D5" s="3" t="str">
        <f t="shared" si="0"/>
        <v>Pass</v>
      </c>
      <c r="E5" s="3" t="str">
        <f t="shared" si="1"/>
        <v>Not Eligible</v>
      </c>
      <c r="F5" s="3" t="str">
        <f t="shared" si="2"/>
        <v>Eligible</v>
      </c>
      <c r="G5" s="3" t="str">
        <f t="shared" si="3"/>
        <v>Yes</v>
      </c>
      <c r="H5" s="3" t="str">
        <f t="shared" si="4"/>
        <v>F</v>
      </c>
      <c r="I5" s="3">
        <f t="shared" si="5"/>
        <v>0.34343434343434343</v>
      </c>
    </row>
    <row r="6" spans="1:9">
      <c r="A6" s="3">
        <v>33</v>
      </c>
      <c r="B6" s="3">
        <v>96</v>
      </c>
      <c r="C6" s="3" t="str">
        <f t="shared" si="0"/>
        <v>Fail</v>
      </c>
      <c r="D6" s="3" t="str">
        <f t="shared" si="0"/>
        <v>Pass</v>
      </c>
      <c r="E6" s="3" t="str">
        <f t="shared" si="1"/>
        <v>Not Eligible</v>
      </c>
      <c r="F6" s="3" t="str">
        <f t="shared" si="2"/>
        <v>Eligible</v>
      </c>
      <c r="G6" s="3" t="str">
        <f t="shared" si="3"/>
        <v>Yes</v>
      </c>
      <c r="H6" s="3" t="str">
        <f t="shared" si="4"/>
        <v>F</v>
      </c>
      <c r="I6" s="3">
        <f t="shared" si="5"/>
        <v>0.34375</v>
      </c>
    </row>
    <row r="7" spans="1:9">
      <c r="A7" s="3">
        <v>93</v>
      </c>
      <c r="B7" s="3">
        <v>58</v>
      </c>
      <c r="C7" s="3" t="str">
        <f t="shared" si="0"/>
        <v>Pass</v>
      </c>
      <c r="D7" s="3" t="str">
        <f t="shared" si="0"/>
        <v>Pass</v>
      </c>
      <c r="E7" s="3" t="str">
        <f t="shared" si="1"/>
        <v>Eligible</v>
      </c>
      <c r="F7" s="3" t="str">
        <f t="shared" si="2"/>
        <v>Eligible</v>
      </c>
      <c r="G7" s="3" t="str">
        <f t="shared" si="3"/>
        <v>No</v>
      </c>
      <c r="H7" s="3" t="str">
        <f t="shared" si="4"/>
        <v>A</v>
      </c>
      <c r="I7" s="3">
        <f t="shared" si="5"/>
        <v>1.603448275862069</v>
      </c>
    </row>
    <row r="8" spans="1:9">
      <c r="A8" s="3">
        <v>83</v>
      </c>
      <c r="B8" s="3">
        <v>70</v>
      </c>
      <c r="C8" s="3" t="str">
        <f t="shared" si="0"/>
        <v>Pass</v>
      </c>
      <c r="D8" s="3" t="str">
        <f t="shared" si="0"/>
        <v>Pass</v>
      </c>
      <c r="E8" s="3" t="str">
        <f t="shared" si="1"/>
        <v>Eligible</v>
      </c>
      <c r="F8" s="3" t="str">
        <f t="shared" si="2"/>
        <v>Eligible</v>
      </c>
      <c r="G8" s="3" t="str">
        <f t="shared" si="3"/>
        <v>No</v>
      </c>
      <c r="H8" s="3" t="str">
        <f t="shared" si="4"/>
        <v>B</v>
      </c>
      <c r="I8" s="3">
        <f t="shared" si="5"/>
        <v>1.1857142857142857</v>
      </c>
    </row>
    <row r="9" spans="1:9">
      <c r="A9" s="3">
        <v>43</v>
      </c>
      <c r="B9" s="3">
        <v>57</v>
      </c>
      <c r="C9" s="3" t="str">
        <f t="shared" si="0"/>
        <v>Fail</v>
      </c>
      <c r="D9" s="3" t="str">
        <f t="shared" si="0"/>
        <v>Pass</v>
      </c>
      <c r="E9" s="3" t="str">
        <f t="shared" si="1"/>
        <v>Not Eligible</v>
      </c>
      <c r="F9" s="3" t="str">
        <f t="shared" si="2"/>
        <v>Eligible</v>
      </c>
      <c r="G9" s="3" t="str">
        <f t="shared" si="3"/>
        <v>Yes</v>
      </c>
      <c r="H9" s="3" t="str">
        <f t="shared" si="4"/>
        <v>F</v>
      </c>
      <c r="I9" s="3">
        <f t="shared" si="5"/>
        <v>0.75438596491228072</v>
      </c>
    </row>
    <row r="10" spans="1:9">
      <c r="A10" s="3">
        <v>62</v>
      </c>
      <c r="B10" s="3">
        <v>0</v>
      </c>
      <c r="C10" s="3" t="str">
        <f t="shared" si="0"/>
        <v>Pass</v>
      </c>
      <c r="D10" s="3" t="str">
        <f t="shared" si="0"/>
        <v>Fail</v>
      </c>
      <c r="E10" s="3" t="str">
        <f t="shared" si="1"/>
        <v>Not Eligible</v>
      </c>
      <c r="F10" s="3" t="str">
        <f t="shared" si="2"/>
        <v>Eligible</v>
      </c>
      <c r="G10" s="3" t="str">
        <f t="shared" si="3"/>
        <v>No</v>
      </c>
      <c r="H10" s="3" t="str">
        <f t="shared" si="4"/>
        <v>C</v>
      </c>
      <c r="I10" s="3" t="str">
        <f t="shared" si="5"/>
        <v>Connot Divide by Zero</v>
      </c>
    </row>
    <row r="15" spans="1:9">
      <c r="A15" s="4" t="s">
        <v>1</v>
      </c>
      <c r="B15" s="4" t="s">
        <v>2</v>
      </c>
      <c r="C15" s="4" t="s">
        <v>31</v>
      </c>
      <c r="D15" s="4" t="s">
        <v>32</v>
      </c>
      <c r="E15" s="4" t="s">
        <v>33</v>
      </c>
      <c r="F15" s="4" t="s">
        <v>34</v>
      </c>
    </row>
    <row r="16" spans="1:9">
      <c r="A16" s="3">
        <v>0</v>
      </c>
      <c r="B16" s="3">
        <v>0</v>
      </c>
      <c r="C16" s="3">
        <v>0</v>
      </c>
      <c r="D16" s="3">
        <v>0</v>
      </c>
      <c r="E16" s="3">
        <v>1</v>
      </c>
      <c r="F16" s="3">
        <v>1</v>
      </c>
      <c r="H16" s="5" t="s">
        <v>35</v>
      </c>
    </row>
    <row r="17" spans="1:8">
      <c r="A17" s="3">
        <v>0</v>
      </c>
      <c r="B17" s="3">
        <v>1</v>
      </c>
      <c r="C17" s="3">
        <v>0</v>
      </c>
      <c r="D17" s="3">
        <v>1</v>
      </c>
      <c r="E17" s="3">
        <v>1</v>
      </c>
      <c r="F17" s="3">
        <v>0</v>
      </c>
      <c r="H17" s="5" t="s">
        <v>36</v>
      </c>
    </row>
    <row r="18" spans="1:8">
      <c r="A18" s="3">
        <v>1</v>
      </c>
      <c r="B18" s="3">
        <v>0</v>
      </c>
      <c r="C18" s="3">
        <v>0</v>
      </c>
      <c r="D18" s="3">
        <v>1</v>
      </c>
      <c r="E18" s="3">
        <v>0</v>
      </c>
      <c r="F18" s="3">
        <v>1</v>
      </c>
    </row>
    <row r="19" spans="1:8">
      <c r="A19" s="3">
        <v>1</v>
      </c>
      <c r="B19" s="3">
        <v>1</v>
      </c>
      <c r="C19" s="3">
        <v>1</v>
      </c>
      <c r="D19" s="3">
        <v>1</v>
      </c>
      <c r="E19" s="3">
        <v>0</v>
      </c>
      <c r="F19" s="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C2987-35F1-4718-B64D-8355F103A38D}">
  <dimension ref="A1:E16"/>
  <sheetViews>
    <sheetView workbookViewId="0">
      <selection activeCell="E30" sqref="E30"/>
    </sheetView>
  </sheetViews>
  <sheetFormatPr defaultRowHeight="12.75"/>
  <cols>
    <col min="1" max="1" width="11.7109375" bestFit="1" customWidth="1"/>
    <col min="2" max="2" width="12.42578125" bestFit="1" customWidth="1"/>
    <col min="3" max="3" width="19.42578125" bestFit="1" customWidth="1"/>
    <col min="4" max="4" width="22.5703125" bestFit="1" customWidth="1"/>
    <col min="5" max="5" width="87.140625" bestFit="1" customWidth="1"/>
  </cols>
  <sheetData>
    <row r="1" spans="1:5" ht="15">
      <c r="A1" s="6" t="s">
        <v>37</v>
      </c>
      <c r="B1" s="7"/>
      <c r="C1" s="7"/>
      <c r="D1" s="7"/>
      <c r="E1" s="8"/>
    </row>
    <row r="2" spans="1:5">
      <c r="A2" s="3" t="s">
        <v>38</v>
      </c>
      <c r="B2" s="3" t="s">
        <v>39</v>
      </c>
      <c r="C2" s="3" t="s">
        <v>40</v>
      </c>
      <c r="D2" s="3" t="s">
        <v>41</v>
      </c>
      <c r="E2" s="3" t="s">
        <v>42</v>
      </c>
    </row>
    <row r="3" spans="1:5" ht="15">
      <c r="A3" s="3" t="s">
        <v>43</v>
      </c>
      <c r="B3" s="3" t="s">
        <v>44</v>
      </c>
      <c r="C3" s="9" t="s">
        <v>45</v>
      </c>
      <c r="D3" s="3">
        <f>LEN(C3)</f>
        <v>21</v>
      </c>
      <c r="E3" s="3" t="s">
        <v>46</v>
      </c>
    </row>
    <row r="4" spans="1:5" ht="15">
      <c r="A4" s="3" t="s">
        <v>47</v>
      </c>
      <c r="B4" s="3" t="s">
        <v>48</v>
      </c>
      <c r="C4" s="9" t="s">
        <v>45</v>
      </c>
      <c r="D4" s="3" t="str">
        <f>TRIM(C4)</f>
        <v>mIcRoSoFt ExCeL</v>
      </c>
      <c r="E4" s="3" t="s">
        <v>49</v>
      </c>
    </row>
    <row r="5" spans="1:5" ht="15">
      <c r="A5" s="3" t="s">
        <v>50</v>
      </c>
      <c r="B5" s="3" t="s">
        <v>51</v>
      </c>
      <c r="C5" s="9" t="s">
        <v>45</v>
      </c>
      <c r="D5" s="3" t="str">
        <f>UPPER(C5)</f>
        <v xml:space="preserve">      MICROSOFT EXCEL</v>
      </c>
      <c r="E5" s="3" t="s">
        <v>52</v>
      </c>
    </row>
    <row r="6" spans="1:5" ht="15">
      <c r="A6" s="3" t="s">
        <v>53</v>
      </c>
      <c r="B6" s="3" t="s">
        <v>54</v>
      </c>
      <c r="C6" s="9" t="s">
        <v>45</v>
      </c>
      <c r="D6" s="3" t="str">
        <f>LOWER(C6)</f>
        <v xml:space="preserve">      microsoft excel</v>
      </c>
      <c r="E6" s="3" t="s">
        <v>55</v>
      </c>
    </row>
    <row r="7" spans="1:5" ht="15">
      <c r="A7" s="3" t="s">
        <v>56</v>
      </c>
      <c r="B7" s="3" t="s">
        <v>57</v>
      </c>
      <c r="C7" s="9" t="s">
        <v>45</v>
      </c>
      <c r="D7" s="3" t="str">
        <f>PROPER(C7)</f>
        <v xml:space="preserve">      Microsoft Excel</v>
      </c>
      <c r="E7" s="3" t="s">
        <v>58</v>
      </c>
    </row>
    <row r="8" spans="1:5" ht="15">
      <c r="A8" s="6" t="s">
        <v>59</v>
      </c>
      <c r="B8" s="7"/>
      <c r="C8" s="7"/>
      <c r="D8" s="7"/>
      <c r="E8" s="8"/>
    </row>
    <row r="9" spans="1:5">
      <c r="A9" s="3" t="s">
        <v>60</v>
      </c>
      <c r="B9" s="3" t="s">
        <v>61</v>
      </c>
      <c r="C9" s="3" t="s">
        <v>62</v>
      </c>
      <c r="D9" s="3" t="str">
        <f>LEFT(C9,5)</f>
        <v>Hello</v>
      </c>
      <c r="E9" s="3" t="s">
        <v>63</v>
      </c>
    </row>
    <row r="10" spans="1:5">
      <c r="A10" s="3" t="s">
        <v>64</v>
      </c>
      <c r="B10" s="3" t="s">
        <v>65</v>
      </c>
      <c r="C10" s="3" t="s">
        <v>62</v>
      </c>
      <c r="D10" s="3" t="str">
        <f>RIGHT(C10,5)</f>
        <v>World</v>
      </c>
      <c r="E10" s="3" t="s">
        <v>66</v>
      </c>
    </row>
    <row r="11" spans="1:5">
      <c r="A11" s="3" t="s">
        <v>67</v>
      </c>
      <c r="B11" s="3" t="s">
        <v>68</v>
      </c>
      <c r="C11" s="3" t="s">
        <v>62</v>
      </c>
      <c r="D11" s="3" t="str">
        <f>MID(C11,3,7)</f>
        <v>llo Wor</v>
      </c>
      <c r="E11" s="3" t="s">
        <v>69</v>
      </c>
    </row>
    <row r="12" spans="1:5">
      <c r="A12" s="3" t="s">
        <v>70</v>
      </c>
      <c r="B12" s="3" t="s">
        <v>71</v>
      </c>
      <c r="C12" s="3" t="s">
        <v>62</v>
      </c>
      <c r="D12" s="3">
        <f>FIND("W",C12)</f>
        <v>7</v>
      </c>
      <c r="E12" s="3" t="s">
        <v>72</v>
      </c>
    </row>
    <row r="13" spans="1:5">
      <c r="A13" s="3" t="s">
        <v>73</v>
      </c>
      <c r="B13" s="3" t="s">
        <v>74</v>
      </c>
      <c r="C13" s="3" t="s">
        <v>62</v>
      </c>
      <c r="D13" s="3">
        <f>FIND("W",C13)</f>
        <v>7</v>
      </c>
      <c r="E13" s="3" t="s">
        <v>75</v>
      </c>
    </row>
    <row r="14" spans="1:5">
      <c r="A14" s="3" t="s">
        <v>76</v>
      </c>
      <c r="B14" s="3" t="s">
        <v>77</v>
      </c>
      <c r="C14" s="3" t="s">
        <v>62</v>
      </c>
      <c r="D14" s="3" t="str">
        <f>REPLACE("World",7,5,"Excel")</f>
        <v>WorldExcel</v>
      </c>
      <c r="E14" s="3" t="s">
        <v>78</v>
      </c>
    </row>
    <row r="15" spans="1:5">
      <c r="A15" s="3" t="s">
        <v>79</v>
      </c>
      <c r="B15" s="3" t="s">
        <v>80</v>
      </c>
      <c r="C15" s="3" t="s">
        <v>62</v>
      </c>
      <c r="D15" s="3" t="str">
        <f>SUBSTITUTE(C15,"Hello","Hi")</f>
        <v>Hi World</v>
      </c>
      <c r="E15" s="3"/>
    </row>
    <row r="16" spans="1:5">
      <c r="A16" s="3" t="s">
        <v>81</v>
      </c>
      <c r="B16" s="3" t="s">
        <v>82</v>
      </c>
      <c r="C16" s="3" t="s">
        <v>62</v>
      </c>
      <c r="D16" s="3" t="str">
        <f>CONCATENATE(C16,B16)</f>
        <v>Hello Worldconcatenate()</v>
      </c>
      <c r="E16" s="3" t="s">
        <v>83</v>
      </c>
    </row>
  </sheetData>
  <mergeCells count="2">
    <mergeCell ref="A1:E1"/>
    <mergeCell ref="A8:E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EEDF7-FE90-4448-8788-EF6F85DA1953}">
  <dimension ref="A1:E13"/>
  <sheetViews>
    <sheetView workbookViewId="0">
      <selection sqref="A1:E14"/>
    </sheetView>
  </sheetViews>
  <sheetFormatPr defaultRowHeight="12.75"/>
  <cols>
    <col min="1" max="1" width="12.140625" bestFit="1" customWidth="1"/>
    <col min="2" max="2" width="10.7109375" bestFit="1" customWidth="1"/>
    <col min="3" max="3" width="10.42578125" bestFit="1" customWidth="1"/>
    <col min="4" max="4" width="15.7109375" bestFit="1" customWidth="1"/>
    <col min="5" max="5" width="61.42578125" bestFit="1" customWidth="1"/>
  </cols>
  <sheetData>
    <row r="1" spans="1:5" ht="15">
      <c r="A1" s="10" t="s">
        <v>84</v>
      </c>
      <c r="B1" s="10"/>
      <c r="C1" s="10"/>
      <c r="D1" s="10"/>
      <c r="E1" s="10"/>
    </row>
    <row r="2" spans="1:5" ht="15">
      <c r="A2" s="9" t="s">
        <v>38</v>
      </c>
      <c r="B2" s="9" t="s">
        <v>39</v>
      </c>
      <c r="C2" s="9" t="s">
        <v>40</v>
      </c>
      <c r="D2" s="9" t="s">
        <v>41</v>
      </c>
      <c r="E2" s="9" t="s">
        <v>42</v>
      </c>
    </row>
    <row r="3" spans="1:5">
      <c r="A3" s="3" t="s">
        <v>85</v>
      </c>
      <c r="B3" s="11" t="s">
        <v>86</v>
      </c>
      <c r="C3" s="3" t="s">
        <v>87</v>
      </c>
      <c r="D3" s="11">
        <f ca="1">TODAY()</f>
        <v>46325</v>
      </c>
      <c r="E3" s="3" t="s">
        <v>88</v>
      </c>
    </row>
    <row r="4" spans="1:5">
      <c r="A4" s="3" t="s">
        <v>89</v>
      </c>
      <c r="B4" s="3" t="s">
        <v>90</v>
      </c>
      <c r="C4" s="3" t="s">
        <v>87</v>
      </c>
      <c r="D4" s="12">
        <f ca="1">NOW()</f>
        <v>46325.566086458333</v>
      </c>
      <c r="E4" s="3" t="s">
        <v>91</v>
      </c>
    </row>
    <row r="5" spans="1:5" ht="15">
      <c r="A5" s="10" t="s">
        <v>92</v>
      </c>
      <c r="B5" s="10"/>
      <c r="C5" s="10"/>
      <c r="D5" s="10"/>
      <c r="E5" s="10"/>
    </row>
    <row r="6" spans="1:5">
      <c r="A6" s="3" t="s">
        <v>93</v>
      </c>
      <c r="B6" s="3" t="s">
        <v>94</v>
      </c>
      <c r="C6" s="11">
        <f ca="1">TODAY()</f>
        <v>46325</v>
      </c>
      <c r="D6" s="3">
        <f ca="1">YEAR(C6)</f>
        <v>2026</v>
      </c>
      <c r="E6" s="3" t="s">
        <v>95</v>
      </c>
    </row>
    <row r="7" spans="1:5">
      <c r="A7" s="3" t="s">
        <v>96</v>
      </c>
      <c r="B7" s="3" t="s">
        <v>97</v>
      </c>
      <c r="C7" s="11">
        <f t="shared" ref="C7:C13" ca="1" si="0">TODAY()</f>
        <v>46325</v>
      </c>
      <c r="D7" s="3">
        <f ca="1">MONTH(C7)</f>
        <v>10</v>
      </c>
      <c r="E7" s="3" t="s">
        <v>98</v>
      </c>
    </row>
    <row r="8" spans="1:5">
      <c r="A8" s="3" t="s">
        <v>99</v>
      </c>
      <c r="B8" s="3" t="s">
        <v>100</v>
      </c>
      <c r="C8" s="11">
        <f t="shared" ca="1" si="0"/>
        <v>46325</v>
      </c>
      <c r="D8" s="3">
        <f ca="1">DAY(C8)</f>
        <v>30</v>
      </c>
      <c r="E8" s="3" t="s">
        <v>101</v>
      </c>
    </row>
    <row r="9" spans="1:5">
      <c r="A9" s="3" t="s">
        <v>102</v>
      </c>
      <c r="B9" s="3" t="s">
        <v>103</v>
      </c>
      <c r="C9" s="11">
        <f t="shared" ca="1" si="0"/>
        <v>46325</v>
      </c>
      <c r="D9" s="3">
        <f ca="1">WEEKDAY(TODAY(),1)</f>
        <v>6</v>
      </c>
      <c r="E9" s="3" t="s">
        <v>104</v>
      </c>
    </row>
    <row r="10" spans="1:5">
      <c r="A10" s="3" t="s">
        <v>105</v>
      </c>
      <c r="B10" s="3" t="s">
        <v>106</v>
      </c>
      <c r="C10" s="11">
        <f t="shared" ca="1" si="0"/>
        <v>46325</v>
      </c>
      <c r="D10" s="3">
        <f ca="1">WEEKNUM(C10)</f>
        <v>44</v>
      </c>
      <c r="E10" s="3" t="s">
        <v>107</v>
      </c>
    </row>
    <row r="11" spans="1:5">
      <c r="A11" s="13" t="s">
        <v>108</v>
      </c>
      <c r="B11" s="13" t="s">
        <v>109</v>
      </c>
      <c r="C11" s="14">
        <f t="shared" ca="1" si="0"/>
        <v>46325</v>
      </c>
      <c r="D11" s="13" t="str">
        <f ca="1">TEXT(C11,"MMMM")</f>
        <v>October</v>
      </c>
      <c r="E11" s="13" t="s">
        <v>110</v>
      </c>
    </row>
    <row r="12" spans="1:5">
      <c r="A12" s="3" t="s">
        <v>111</v>
      </c>
      <c r="B12" s="3" t="s">
        <v>112</v>
      </c>
      <c r="C12" s="11">
        <v>37648</v>
      </c>
      <c r="D12" s="3">
        <f ca="1">DATEDIF(C12,TODAY(),"Y")</f>
        <v>23</v>
      </c>
      <c r="E12" s="3" t="s">
        <v>113</v>
      </c>
    </row>
    <row r="13" spans="1:5">
      <c r="A13" s="3" t="s">
        <v>114</v>
      </c>
      <c r="B13" s="3" t="s">
        <v>115</v>
      </c>
      <c r="C13" s="11">
        <f t="shared" ca="1" si="0"/>
        <v>46325</v>
      </c>
      <c r="D13" s="3">
        <f ca="1">EDATE(C13,3)</f>
        <v>46417</v>
      </c>
      <c r="E13" s="3" t="s">
        <v>116</v>
      </c>
    </row>
  </sheetData>
  <mergeCells count="2">
    <mergeCell ref="A1:E1"/>
    <mergeCell ref="A5:E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78725-7267-4429-8223-E32EED710948}">
  <dimension ref="A1:K23"/>
  <sheetViews>
    <sheetView workbookViewId="0">
      <selection activeCell="F27" sqref="F27"/>
    </sheetView>
  </sheetViews>
  <sheetFormatPr defaultRowHeight="12.75"/>
  <cols>
    <col min="1" max="1" width="32.5703125" bestFit="1" customWidth="1"/>
    <col min="2" max="2" width="13.85546875" bestFit="1" customWidth="1"/>
    <col min="3" max="3" width="16.5703125" bestFit="1" customWidth="1"/>
    <col min="5" max="5" width="16.7109375" bestFit="1" customWidth="1"/>
    <col min="6" max="6" width="17.140625" bestFit="1" customWidth="1"/>
    <col min="7" max="7" width="13.5703125" bestFit="1" customWidth="1"/>
    <col min="8" max="8" width="61" bestFit="1" customWidth="1"/>
    <col min="9" max="9" width="12.140625" bestFit="1" customWidth="1"/>
    <col min="10" max="10" width="39.7109375" bestFit="1" customWidth="1"/>
    <col min="11" max="11" width="57.42578125" bestFit="1" customWidth="1"/>
  </cols>
  <sheetData>
    <row r="1" spans="1:11">
      <c r="A1" t="s">
        <v>117</v>
      </c>
      <c r="B1" t="s">
        <v>118</v>
      </c>
    </row>
    <row r="3" spans="1:11">
      <c r="A3" t="s">
        <v>119</v>
      </c>
      <c r="B3" t="s">
        <v>120</v>
      </c>
    </row>
    <row r="5" spans="1:11">
      <c r="A5" t="s">
        <v>121</v>
      </c>
    </row>
    <row r="8" spans="1:11" ht="15">
      <c r="A8" t="s">
        <v>1</v>
      </c>
      <c r="B8" t="s">
        <v>122</v>
      </c>
      <c r="C8" t="s">
        <v>123</v>
      </c>
      <c r="E8" s="9" t="s">
        <v>124</v>
      </c>
      <c r="F8" s="9" t="s">
        <v>125</v>
      </c>
      <c r="G8" s="9" t="s">
        <v>126</v>
      </c>
      <c r="H8" s="9" t="s">
        <v>39</v>
      </c>
      <c r="I8" s="9" t="s">
        <v>127</v>
      </c>
      <c r="J8" s="9" t="s">
        <v>128</v>
      </c>
      <c r="K8" s="9" t="s">
        <v>129</v>
      </c>
    </row>
    <row r="9" spans="1:11">
      <c r="A9">
        <v>58</v>
      </c>
      <c r="B9">
        <f>A9-$I$9</f>
        <v>-4.4444444444444429</v>
      </c>
      <c r="C9">
        <f>POWER(B9,2)</f>
        <v>19.753086419753071</v>
      </c>
      <c r="E9" s="3" t="s">
        <v>130</v>
      </c>
      <c r="F9" s="3" t="s">
        <v>131</v>
      </c>
      <c r="G9" s="3" t="s">
        <v>132</v>
      </c>
      <c r="H9" s="3" t="s">
        <v>133</v>
      </c>
      <c r="I9" s="3">
        <f>AVERAGE(A9:A17)</f>
        <v>62.444444444444443</v>
      </c>
      <c r="J9" s="3" t="s">
        <v>134</v>
      </c>
      <c r="K9" s="3"/>
    </row>
    <row r="10" spans="1:11">
      <c r="A10">
        <v>73</v>
      </c>
      <c r="B10">
        <f t="shared" ref="B10:B17" si="0">A10-$I$9</f>
        <v>10.555555555555557</v>
      </c>
      <c r="C10">
        <f t="shared" ref="C10:C17" si="1">POWER(B10,2)</f>
        <v>111.41975308641979</v>
      </c>
      <c r="E10" s="3" t="s">
        <v>135</v>
      </c>
      <c r="F10" s="3" t="s">
        <v>136</v>
      </c>
      <c r="G10" s="3" t="s">
        <v>132</v>
      </c>
      <c r="H10" s="3" t="s">
        <v>137</v>
      </c>
      <c r="I10" s="3">
        <f>MEDIAN(A9:A17)</f>
        <v>62</v>
      </c>
      <c r="J10" s="3" t="s">
        <v>138</v>
      </c>
      <c r="K10" s="3" t="s">
        <v>139</v>
      </c>
    </row>
    <row r="11" spans="1:11">
      <c r="A11">
        <v>83</v>
      </c>
      <c r="B11">
        <f t="shared" si="0"/>
        <v>20.555555555555557</v>
      </c>
      <c r="C11">
        <f t="shared" si="1"/>
        <v>422.53086419753095</v>
      </c>
      <c r="E11" s="3" t="s">
        <v>140</v>
      </c>
      <c r="F11" s="3" t="s">
        <v>141</v>
      </c>
      <c r="G11" s="3" t="s">
        <v>132</v>
      </c>
      <c r="H11" s="3"/>
      <c r="I11" s="3">
        <f>MODE(A9:A17)</f>
        <v>83</v>
      </c>
      <c r="J11" s="3" t="s">
        <v>142</v>
      </c>
      <c r="K11" s="3"/>
    </row>
    <row r="12" spans="1:11">
      <c r="A12">
        <v>34</v>
      </c>
      <c r="B12">
        <f t="shared" si="0"/>
        <v>-28.444444444444443</v>
      </c>
      <c r="C12">
        <f t="shared" si="1"/>
        <v>809.08641975308637</v>
      </c>
      <c r="E12" s="3" t="s">
        <v>140</v>
      </c>
      <c r="F12" s="3" t="s">
        <v>143</v>
      </c>
      <c r="G12" s="3" t="s">
        <v>132</v>
      </c>
      <c r="H12" s="3"/>
      <c r="I12" s="3">
        <f>_xlfn.MODE.SNGL(A9:A17)</f>
        <v>83</v>
      </c>
      <c r="J12" s="3" t="s">
        <v>144</v>
      </c>
      <c r="K12" s="3"/>
    </row>
    <row r="13" spans="1:11">
      <c r="A13">
        <v>34</v>
      </c>
      <c r="B13">
        <f t="shared" si="0"/>
        <v>-28.444444444444443</v>
      </c>
      <c r="C13">
        <f t="shared" si="1"/>
        <v>809.08641975308637</v>
      </c>
      <c r="E13" s="15" t="s">
        <v>145</v>
      </c>
      <c r="F13" s="3" t="s">
        <v>146</v>
      </c>
      <c r="G13" s="15" t="s">
        <v>132</v>
      </c>
      <c r="H13" s="15"/>
      <c r="I13" s="3" cm="1">
        <f t="array" ref="I13:I14">_xlfn.MODE.MULT(A9:A17)</f>
        <v>83</v>
      </c>
      <c r="J13" s="15" t="s">
        <v>147</v>
      </c>
      <c r="K13" s="15" t="s">
        <v>148</v>
      </c>
    </row>
    <row r="14" spans="1:11">
      <c r="A14">
        <v>92</v>
      </c>
      <c r="B14">
        <f t="shared" si="0"/>
        <v>29.555555555555557</v>
      </c>
      <c r="C14">
        <f t="shared" si="1"/>
        <v>873.53086419753095</v>
      </c>
      <c r="E14" s="15"/>
      <c r="F14" s="3"/>
      <c r="G14" s="15"/>
      <c r="H14" s="15"/>
      <c r="I14" s="3">
        <v>34</v>
      </c>
      <c r="J14" s="15"/>
      <c r="K14" s="15"/>
    </row>
    <row r="15" spans="1:11">
      <c r="A15">
        <v>83</v>
      </c>
      <c r="B15">
        <f t="shared" si="0"/>
        <v>20.555555555555557</v>
      </c>
      <c r="C15">
        <f t="shared" si="1"/>
        <v>422.53086419753095</v>
      </c>
      <c r="E15" s="3" t="s">
        <v>122</v>
      </c>
      <c r="F15" s="3"/>
      <c r="G15" s="3" t="s">
        <v>149</v>
      </c>
      <c r="H15" s="3" t="s">
        <v>150</v>
      </c>
      <c r="I15" s="3"/>
      <c r="J15" s="3" t="s">
        <v>151</v>
      </c>
      <c r="K15" s="3"/>
    </row>
    <row r="16" spans="1:11">
      <c r="A16">
        <v>43</v>
      </c>
      <c r="B16">
        <f t="shared" si="0"/>
        <v>-19.444444444444443</v>
      </c>
      <c r="C16">
        <f t="shared" si="1"/>
        <v>378.08641975308637</v>
      </c>
      <c r="E16" s="3" t="s">
        <v>152</v>
      </c>
      <c r="F16" s="3"/>
      <c r="G16" s="3" t="s">
        <v>149</v>
      </c>
      <c r="H16" s="3" t="s">
        <v>153</v>
      </c>
      <c r="I16" s="3"/>
      <c r="J16" s="3" t="s">
        <v>154</v>
      </c>
      <c r="K16" s="3"/>
    </row>
    <row r="17" spans="1:11">
      <c r="A17">
        <v>62</v>
      </c>
      <c r="B17">
        <f t="shared" si="0"/>
        <v>-0.44444444444444287</v>
      </c>
      <c r="C17">
        <f t="shared" si="1"/>
        <v>0.19753086419752947</v>
      </c>
      <c r="E17" s="15" t="s">
        <v>155</v>
      </c>
      <c r="F17" s="15" t="s">
        <v>156</v>
      </c>
      <c r="G17" s="15" t="s">
        <v>132</v>
      </c>
      <c r="H17" s="15" t="s">
        <v>157</v>
      </c>
      <c r="I17" s="3">
        <f>(SUM(C9:C17))/COUNT(C9:C17)</f>
        <v>427.35802469135808</v>
      </c>
      <c r="J17" s="15" t="s">
        <v>158</v>
      </c>
      <c r="K17" s="15"/>
    </row>
    <row r="18" spans="1:11">
      <c r="E18" s="15"/>
      <c r="F18" s="15"/>
      <c r="G18" s="15"/>
      <c r="H18" s="15"/>
      <c r="I18" s="3">
        <f>_xlfn.VAR.P(C9:C17)</f>
        <v>104600.27739673825</v>
      </c>
      <c r="J18" s="15"/>
      <c r="K18" s="15"/>
    </row>
    <row r="19" spans="1:11">
      <c r="E19" s="3"/>
      <c r="F19" s="3"/>
      <c r="G19" s="3"/>
      <c r="H19" s="3"/>
      <c r="I19" s="3">
        <f>SQRT(I18)</f>
        <v>323.41966142573682</v>
      </c>
      <c r="J19" s="3" t="s">
        <v>159</v>
      </c>
      <c r="K19" s="3"/>
    </row>
    <row r="20" spans="1:11">
      <c r="E20" s="3" t="s">
        <v>160</v>
      </c>
      <c r="F20" s="3" t="s">
        <v>161</v>
      </c>
      <c r="G20" s="3" t="s">
        <v>132</v>
      </c>
      <c r="H20" s="3"/>
      <c r="I20" s="3">
        <f>_xlfn.STDEV.P(A9:A17)</f>
        <v>20.67263951921375</v>
      </c>
      <c r="J20" s="3"/>
      <c r="K20" s="3"/>
    </row>
    <row r="22" spans="1:11">
      <c r="A22" s="16" t="s">
        <v>162</v>
      </c>
      <c r="B22" s="17"/>
      <c r="C22" s="17"/>
    </row>
    <row r="23" spans="1:11">
      <c r="A23" s="16" t="s">
        <v>163</v>
      </c>
      <c r="B23" s="17"/>
      <c r="C23" s="17"/>
    </row>
  </sheetData>
  <mergeCells count="13">
    <mergeCell ref="K17:K18"/>
    <mergeCell ref="A22:C22"/>
    <mergeCell ref="A23:C23"/>
    <mergeCell ref="E13:E14"/>
    <mergeCell ref="G13:G14"/>
    <mergeCell ref="H13:H14"/>
    <mergeCell ref="J13:J14"/>
    <mergeCell ref="K13:K14"/>
    <mergeCell ref="E17:E18"/>
    <mergeCell ref="F17:F18"/>
    <mergeCell ref="G17:G18"/>
    <mergeCell ref="H17:H18"/>
    <mergeCell ref="J17:J1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41F6C-49C1-4055-8EF7-7AA42F373685}">
  <dimension ref="A1:G8"/>
  <sheetViews>
    <sheetView workbookViewId="0">
      <selection activeCell="F3" sqref="F3"/>
    </sheetView>
  </sheetViews>
  <sheetFormatPr defaultRowHeight="12.75"/>
  <sheetData>
    <row r="1" spans="1:7" ht="15">
      <c r="A1" s="9" t="s">
        <v>5</v>
      </c>
      <c r="B1" s="9" t="s">
        <v>164</v>
      </c>
      <c r="C1" s="9" t="s">
        <v>165</v>
      </c>
      <c r="D1" s="9" t="s">
        <v>166</v>
      </c>
      <c r="E1" s="9" t="s">
        <v>167</v>
      </c>
      <c r="F1" s="9" t="s">
        <v>168</v>
      </c>
      <c r="G1" s="9" t="s">
        <v>169</v>
      </c>
    </row>
    <row r="2" spans="1:7">
      <c r="A2" s="3" t="s">
        <v>170</v>
      </c>
      <c r="B2" s="18">
        <v>120</v>
      </c>
      <c r="C2" s="18">
        <v>443</v>
      </c>
      <c r="D2" s="18">
        <v>432</v>
      </c>
      <c r="E2" s="18">
        <v>752</v>
      </c>
      <c r="F2" s="18">
        <v>250</v>
      </c>
      <c r="G2" s="18">
        <v>810</v>
      </c>
    </row>
    <row r="3" spans="1:7">
      <c r="A3" s="3" t="s">
        <v>171</v>
      </c>
      <c r="B3" s="18">
        <v>225</v>
      </c>
      <c r="C3" s="18">
        <v>999</v>
      </c>
      <c r="D3" s="18">
        <v>647</v>
      </c>
      <c r="E3" s="18">
        <v>221</v>
      </c>
      <c r="F3" s="18">
        <v>239</v>
      </c>
      <c r="G3" s="18">
        <v>769</v>
      </c>
    </row>
    <row r="4" spans="1:7">
      <c r="A4" s="3" t="s">
        <v>172</v>
      </c>
      <c r="B4" s="18">
        <v>150</v>
      </c>
      <c r="C4" s="18">
        <v>909</v>
      </c>
      <c r="D4" s="18">
        <v>585</v>
      </c>
      <c r="E4" s="18">
        <v>109</v>
      </c>
      <c r="F4" s="18">
        <v>886</v>
      </c>
      <c r="G4" s="18">
        <v>613</v>
      </c>
    </row>
    <row r="5" spans="1:7">
      <c r="A5" s="3" t="s">
        <v>173</v>
      </c>
      <c r="B5" s="18">
        <v>755</v>
      </c>
      <c r="C5" s="18">
        <v>721</v>
      </c>
      <c r="D5" s="18">
        <v>548</v>
      </c>
      <c r="E5" s="18">
        <v>706</v>
      </c>
      <c r="F5" s="18">
        <v>962</v>
      </c>
      <c r="G5" s="18">
        <v>473</v>
      </c>
    </row>
    <row r="6" spans="1:7">
      <c r="A6" s="3" t="s">
        <v>174</v>
      </c>
      <c r="B6" s="18">
        <v>312</v>
      </c>
      <c r="C6" s="18">
        <v>168</v>
      </c>
      <c r="D6" s="18">
        <v>841</v>
      </c>
      <c r="E6" s="18">
        <v>665</v>
      </c>
      <c r="F6" s="18">
        <v>878</v>
      </c>
      <c r="G6" s="18">
        <v>770</v>
      </c>
    </row>
    <row r="7" spans="1:7">
      <c r="A7" s="3" t="s">
        <v>175</v>
      </c>
      <c r="B7" s="18">
        <v>550</v>
      </c>
      <c r="C7" s="18">
        <v>524</v>
      </c>
      <c r="D7" s="18">
        <v>637</v>
      </c>
      <c r="E7" s="18">
        <v>732</v>
      </c>
      <c r="F7" s="18">
        <v>168</v>
      </c>
      <c r="G7" s="18">
        <v>976</v>
      </c>
    </row>
    <row r="8" spans="1:7">
      <c r="A8" s="3" t="s">
        <v>176</v>
      </c>
      <c r="B8" s="18">
        <v>597</v>
      </c>
      <c r="C8" s="18">
        <v>875</v>
      </c>
      <c r="D8" s="18">
        <v>470</v>
      </c>
      <c r="E8" s="18">
        <v>421</v>
      </c>
      <c r="F8" s="18">
        <v>187</v>
      </c>
      <c r="G8" s="18">
        <v>912</v>
      </c>
    </row>
  </sheetData>
  <conditionalFormatting sqref="B2:G8">
    <cfRule type="cellIs" dxfId="2" priority="3" operator="greaterThan">
      <formula>700</formula>
    </cfRule>
  </conditionalFormatting>
  <conditionalFormatting sqref="B2:G8">
    <cfRule type="cellIs" dxfId="1" priority="2" operator="lessThan">
      <formula>200</formula>
    </cfRule>
  </conditionalFormatting>
  <conditionalFormatting sqref="B2:G8">
    <cfRule type="cellIs" dxfId="0" priority="1" operator="between">
      <formula>201</formula>
      <formula>699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F567D-8714-4A0C-8774-BDBEE9F451B0}">
  <dimension ref="A1:I16"/>
  <sheetViews>
    <sheetView workbookViewId="0">
      <selection activeCell="J6" sqref="J6"/>
    </sheetView>
  </sheetViews>
  <sheetFormatPr defaultRowHeight="12.75"/>
  <sheetData>
    <row r="1" spans="1:9">
      <c r="A1" t="s">
        <v>5</v>
      </c>
      <c r="B1">
        <v>2025</v>
      </c>
      <c r="C1">
        <v>2026</v>
      </c>
      <c r="D1">
        <v>2027</v>
      </c>
    </row>
    <row r="2" spans="1:9">
      <c r="A2" t="s">
        <v>177</v>
      </c>
      <c r="B2">
        <v>58</v>
      </c>
      <c r="C2">
        <v>56</v>
      </c>
      <c r="D2">
        <v>86</v>
      </c>
      <c r="I2" s="20">
        <f>SUM(Sales_2025)</f>
        <v>472</v>
      </c>
    </row>
    <row r="3" spans="1:9">
      <c r="A3" t="s">
        <v>2</v>
      </c>
      <c r="B3">
        <v>73</v>
      </c>
      <c r="C3">
        <v>36</v>
      </c>
      <c r="D3">
        <v>91</v>
      </c>
      <c r="I3" s="20">
        <f>SUM(Sales_2026)</f>
        <v>560</v>
      </c>
    </row>
    <row r="4" spans="1:9">
      <c r="A4" t="s">
        <v>178</v>
      </c>
      <c r="B4">
        <v>83</v>
      </c>
      <c r="C4">
        <v>84</v>
      </c>
      <c r="D4">
        <v>125</v>
      </c>
      <c r="I4" s="20">
        <f>AVERAGE(Sales_2027)</f>
        <v>83.555555555555557</v>
      </c>
    </row>
    <row r="5" spans="1:9">
      <c r="A5" t="s">
        <v>177</v>
      </c>
      <c r="B5">
        <v>34</v>
      </c>
      <c r="C5">
        <v>99</v>
      </c>
      <c r="D5">
        <v>83.5</v>
      </c>
    </row>
    <row r="6" spans="1:9">
      <c r="A6" t="s">
        <v>2</v>
      </c>
      <c r="B6">
        <v>33</v>
      </c>
      <c r="C6">
        <v>96</v>
      </c>
      <c r="D6">
        <v>81</v>
      </c>
    </row>
    <row r="7" spans="1:9">
      <c r="A7" t="s">
        <v>178</v>
      </c>
      <c r="B7">
        <v>3</v>
      </c>
      <c r="C7">
        <v>58</v>
      </c>
      <c r="D7">
        <v>32</v>
      </c>
    </row>
    <row r="8" spans="1:9">
      <c r="A8" t="s">
        <v>177</v>
      </c>
      <c r="B8">
        <v>83</v>
      </c>
      <c r="C8">
        <v>70</v>
      </c>
      <c r="D8">
        <v>118</v>
      </c>
    </row>
    <row r="9" spans="1:9">
      <c r="A9" t="s">
        <v>2</v>
      </c>
      <c r="B9">
        <v>43</v>
      </c>
      <c r="C9">
        <v>57</v>
      </c>
      <c r="D9">
        <v>71.5</v>
      </c>
    </row>
    <row r="10" spans="1:9">
      <c r="A10" t="s">
        <v>178</v>
      </c>
      <c r="B10">
        <v>62</v>
      </c>
      <c r="C10">
        <v>4</v>
      </c>
      <c r="D10">
        <v>64</v>
      </c>
    </row>
    <row r="14" spans="1:9">
      <c r="A14" t="s">
        <v>179</v>
      </c>
    </row>
    <row r="15" spans="1:9">
      <c r="A15" t="s">
        <v>180</v>
      </c>
    </row>
    <row r="16" spans="1:9">
      <c r="A16" t="s">
        <v>181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1CAFE-ABD5-48FC-95DA-0057DBDD48E1}">
  <dimension ref="A1:G8"/>
  <sheetViews>
    <sheetView workbookViewId="0">
      <selection activeCell="N23" sqref="N23"/>
    </sheetView>
  </sheetViews>
  <sheetFormatPr defaultRowHeight="12.75"/>
  <cols>
    <col min="1" max="1" width="5" bestFit="1" customWidth="1"/>
    <col min="2" max="2" width="8.5703125" bestFit="1" customWidth="1"/>
    <col min="3" max="3" width="21" bestFit="1" customWidth="1"/>
    <col min="4" max="4" width="7.42578125" bestFit="1" customWidth="1"/>
    <col min="5" max="5" width="5.28515625" bestFit="1" customWidth="1"/>
    <col min="6" max="6" width="7.28515625" bestFit="1" customWidth="1"/>
    <col min="7" max="7" width="14.5703125" bestFit="1" customWidth="1"/>
  </cols>
  <sheetData>
    <row r="1" spans="1:7" ht="15">
      <c r="A1" s="9" t="s">
        <v>182</v>
      </c>
      <c r="B1" s="21" t="s">
        <v>183</v>
      </c>
      <c r="C1" s="9" t="s">
        <v>184</v>
      </c>
      <c r="D1" s="9"/>
      <c r="E1" s="9"/>
      <c r="F1" s="9"/>
      <c r="G1" s="9"/>
    </row>
    <row r="2" spans="1:7" ht="15">
      <c r="A2" s="22">
        <v>1</v>
      </c>
      <c r="B2" s="23" t="e">
        <v>#DIV/0!</v>
      </c>
      <c r="C2" s="24" t="s">
        <v>185</v>
      </c>
      <c r="D2" s="3">
        <v>20</v>
      </c>
      <c r="E2" s="3">
        <v>0</v>
      </c>
      <c r="F2" s="3" t="e">
        <v>#DIV/0!</v>
      </c>
      <c r="G2" s="3" t="s">
        <v>186</v>
      </c>
    </row>
    <row r="3" spans="1:7" ht="15">
      <c r="A3" s="22">
        <v>2</v>
      </c>
      <c r="B3" s="23" t="e">
        <v>#N/A</v>
      </c>
      <c r="C3" s="24" t="s">
        <v>187</v>
      </c>
      <c r="D3" s="3" t="s">
        <v>188</v>
      </c>
      <c r="E3" s="3">
        <v>3000</v>
      </c>
      <c r="F3" s="3"/>
      <c r="G3" s="3" t="s">
        <v>189</v>
      </c>
    </row>
    <row r="4" spans="1:7" ht="15">
      <c r="A4" s="22">
        <v>3</v>
      </c>
      <c r="B4" s="23" t="e">
        <v>#VALUE!</v>
      </c>
      <c r="C4" s="24" t="s">
        <v>190</v>
      </c>
      <c r="D4" s="3">
        <v>20</v>
      </c>
      <c r="E4" s="3" t="s">
        <v>191</v>
      </c>
      <c r="F4" s="3"/>
      <c r="G4" s="3" t="s">
        <v>192</v>
      </c>
    </row>
    <row r="5" spans="1:7" ht="15">
      <c r="A5" s="22">
        <v>4</v>
      </c>
      <c r="B5" s="23" t="e">
        <v>#REF!</v>
      </c>
      <c r="C5" s="24" t="s">
        <v>193</v>
      </c>
      <c r="D5" s="3">
        <v>10</v>
      </c>
      <c r="E5" s="3">
        <v>20</v>
      </c>
      <c r="F5" s="3"/>
      <c r="G5" s="3" t="e">
        <v>#REF!</v>
      </c>
    </row>
    <row r="6" spans="1:7" ht="15">
      <c r="A6" s="22">
        <v>5</v>
      </c>
      <c r="B6" s="23" t="e">
        <v>#NAME?</v>
      </c>
      <c r="C6" s="24" t="s">
        <v>194</v>
      </c>
      <c r="D6" s="3"/>
      <c r="E6" s="3"/>
      <c r="F6" s="3"/>
      <c r="G6" s="3" t="e">
        <v>#NAME?</v>
      </c>
    </row>
    <row r="7" spans="1:7" ht="15">
      <c r="A7" s="22">
        <v>6</v>
      </c>
      <c r="B7" s="23" t="e">
        <v>#NUM!</v>
      </c>
      <c r="C7" s="24" t="s">
        <v>195</v>
      </c>
      <c r="D7" s="3"/>
      <c r="E7" s="3"/>
      <c r="F7" s="3"/>
      <c r="G7" s="3" t="e">
        <v>#NUM!</v>
      </c>
    </row>
    <row r="8" spans="1:7" ht="15">
      <c r="A8" s="22">
        <v>7</v>
      </c>
      <c r="B8" s="23" t="e">
        <v>#NULL!</v>
      </c>
      <c r="C8" s="24" t="s">
        <v>196</v>
      </c>
      <c r="D8" s="3"/>
      <c r="E8" s="3"/>
      <c r="F8" s="3"/>
      <c r="G8" s="3" t="e">
        <v>#NULL!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432D1-E24C-4B5F-8590-9D7A338EF20F}">
  <dimension ref="A1:O35"/>
  <sheetViews>
    <sheetView workbookViewId="0">
      <selection activeCell="K30" sqref="K30"/>
    </sheetView>
  </sheetViews>
  <sheetFormatPr defaultRowHeight="12.75"/>
  <cols>
    <col min="1" max="1" width="5" bestFit="1" customWidth="1"/>
    <col min="2" max="2" width="13.28515625" bestFit="1" customWidth="1"/>
    <col min="3" max="3" width="18.7109375" bestFit="1" customWidth="1"/>
    <col min="4" max="4" width="9.85546875" bestFit="1" customWidth="1"/>
    <col min="5" max="5" width="4.28515625" bestFit="1" customWidth="1"/>
    <col min="6" max="6" width="22.85546875" bestFit="1" customWidth="1"/>
    <col min="7" max="8" width="10.5703125" bestFit="1" customWidth="1"/>
    <col min="9" max="9" width="13.7109375" bestFit="1" customWidth="1"/>
    <col min="10" max="10" width="18.140625" bestFit="1" customWidth="1"/>
  </cols>
  <sheetData>
    <row r="1" spans="1:10" ht="15">
      <c r="A1" s="2" t="s">
        <v>182</v>
      </c>
      <c r="B1" s="2" t="s">
        <v>38</v>
      </c>
      <c r="C1" s="2" t="s">
        <v>197</v>
      </c>
      <c r="D1" s="2" t="s">
        <v>198</v>
      </c>
      <c r="E1" s="2" t="s">
        <v>199</v>
      </c>
      <c r="F1" s="2">
        <v>1</v>
      </c>
      <c r="G1" s="2">
        <v>2</v>
      </c>
      <c r="H1" s="2">
        <v>3</v>
      </c>
      <c r="I1" s="2">
        <v>4</v>
      </c>
      <c r="J1" s="2">
        <v>5</v>
      </c>
    </row>
    <row r="2" spans="1:10">
      <c r="A2" s="3">
        <v>1</v>
      </c>
      <c r="B2" s="3" t="s">
        <v>200</v>
      </c>
      <c r="C2" s="3">
        <v>12000</v>
      </c>
      <c r="D2" s="3">
        <v>0.95</v>
      </c>
      <c r="E2" s="3" t="s">
        <v>201</v>
      </c>
      <c r="F2" s="3" t="str">
        <f>IF(C2&gt;=10000,"Meet Target","Missed Target")</f>
        <v>Meet Target</v>
      </c>
      <c r="G2" s="3" t="str">
        <f>IF(AND(C2&gt;=10000,E2="Yes"),"Eligible","Not Eligible")</f>
        <v>Eligible</v>
      </c>
      <c r="H2" s="3" t="str">
        <f>IF(OR(C2&lt;9000,D2&lt;0.9),"Eligible","Not Eligible")</f>
        <v>Not Eligible</v>
      </c>
      <c r="I2" s="3" t="str">
        <f>IF(NOT(E2="Yes"),"Training Taken","Not Taken")</f>
        <v>Not Taken</v>
      </c>
      <c r="J2" s="3" t="str">
        <f>IF(C2&gt;=12000,"Elite",IF(C2&gt;=8000,"Standard","Needs Improvement"))</f>
        <v>Elite</v>
      </c>
    </row>
    <row r="3" spans="1:10">
      <c r="A3" s="3">
        <v>2</v>
      </c>
      <c r="B3" s="3" t="s">
        <v>202</v>
      </c>
      <c r="C3" s="3">
        <v>8000</v>
      </c>
      <c r="D3" s="3">
        <v>0.88</v>
      </c>
      <c r="E3" s="3" t="s">
        <v>203</v>
      </c>
      <c r="F3" s="3" t="str">
        <f>IF(C3&gt;=10000,"Meet Target","Missed Target")</f>
        <v>Missed Target</v>
      </c>
      <c r="G3" s="3" t="str">
        <f>IF(AND(C3&gt;=10000,E3="Yes"),"Eligible","Not Eligible")</f>
        <v>Not Eligible</v>
      </c>
      <c r="H3" s="3" t="str">
        <f>IF(OR(C3&lt;9000,D3&lt;0.9),"Eligible","Not Eligible")</f>
        <v>Eligible</v>
      </c>
      <c r="I3" s="3" t="str">
        <f>IF(NOT(E3="Yes"),"Training Taken","Not Taken")</f>
        <v>Training Taken</v>
      </c>
      <c r="J3" s="3" t="str">
        <f>IF(C3&gt;=12000,"Elite",IF(C3&gt;=8000,"Standard","Needs Improvement"))</f>
        <v>Standard</v>
      </c>
    </row>
    <row r="4" spans="1:10">
      <c r="A4" s="3">
        <v>3</v>
      </c>
      <c r="B4" s="3" t="s">
        <v>204</v>
      </c>
      <c r="C4" s="3">
        <v>15000</v>
      </c>
      <c r="D4" s="3">
        <v>0.75</v>
      </c>
      <c r="E4" s="3" t="s">
        <v>201</v>
      </c>
      <c r="F4" s="3" t="str">
        <f>IF(C4&gt;=10000,"Meet Target","Missed Target")</f>
        <v>Meet Target</v>
      </c>
      <c r="G4" s="3" t="str">
        <f>IF(AND(C4&gt;=10000,E4="Yes"),"Eligible","Not Eligible")</f>
        <v>Eligible</v>
      </c>
      <c r="H4" s="3" t="str">
        <f>IF(OR(C4&lt;9000,D4&lt;0.9),"Eligible","Not Eligible")</f>
        <v>Eligible</v>
      </c>
      <c r="I4" s="3" t="str">
        <f>IF(NOT(E4="Yes"),"Training Taken","Not Taken")</f>
        <v>Not Taken</v>
      </c>
      <c r="J4" s="3" t="str">
        <f>IF(C4&gt;=12000,"Elite",IF(C4&gt;=8000,"Standard","Needs Improvement"))</f>
        <v>Elite</v>
      </c>
    </row>
    <row r="5" spans="1:10">
      <c r="A5" s="3">
        <v>4</v>
      </c>
      <c r="B5" s="3" t="s">
        <v>205</v>
      </c>
      <c r="C5" s="3">
        <v>5000</v>
      </c>
      <c r="D5" s="3">
        <v>0.92</v>
      </c>
      <c r="E5" s="3" t="s">
        <v>201</v>
      </c>
      <c r="F5" s="3" t="str">
        <f>IF(C5&gt;=10000,"Meet Target","Missed Target")</f>
        <v>Missed Target</v>
      </c>
      <c r="G5" s="3" t="str">
        <f>IF(AND(C5&gt;=10000,E5="Yes"),"Eligible","Not Eligible")</f>
        <v>Not Eligible</v>
      </c>
      <c r="H5" s="3" t="str">
        <f>IF(OR(C5&lt;9000,D5&lt;0.9),"Eligible","Not Eligible")</f>
        <v>Eligible</v>
      </c>
      <c r="I5" s="3" t="str">
        <f>IF(NOT(E5="Yes"),"Training Taken","Not Taken")</f>
        <v>Not Taken</v>
      </c>
      <c r="J5" s="3" t="str">
        <f>IF(C5&gt;=12000,"Elite",IF(C5&gt;=8000,"Standard","Needs Improvement"))</f>
        <v>Needs Improvement</v>
      </c>
    </row>
    <row r="6" spans="1:10">
      <c r="A6" s="3">
        <v>5</v>
      </c>
      <c r="B6" s="3" t="s">
        <v>206</v>
      </c>
      <c r="C6" s="3">
        <v>9500</v>
      </c>
      <c r="D6" s="3">
        <v>0.91</v>
      </c>
      <c r="E6" s="3" t="s">
        <v>203</v>
      </c>
      <c r="F6" s="3" t="str">
        <f>IF(C6&gt;=10000,"Meet Target","Missed Target")</f>
        <v>Missed Target</v>
      </c>
      <c r="G6" s="3" t="str">
        <f>IF(AND(C6&gt;=10000,E6="Yes"),"Eligible","Not Eligible")</f>
        <v>Not Eligible</v>
      </c>
      <c r="H6" s="3" t="str">
        <f>IF(OR(C6&lt;9000,D6&lt;0.9),"Eligible","Not Eligible")</f>
        <v>Not Eligible</v>
      </c>
      <c r="I6" s="3" t="str">
        <f>IF(NOT(E6="Yes"),"Training Taken","Not Taken")</f>
        <v>Training Taken</v>
      </c>
      <c r="J6" s="3" t="str">
        <f>IF(C6&gt;=12000,"Elite",IF(C6&gt;=8000,"Standard","Needs Improvement"))</f>
        <v>Standard</v>
      </c>
    </row>
    <row r="11" spans="1:10">
      <c r="A11">
        <v>1</v>
      </c>
      <c r="B11" t="s">
        <v>207</v>
      </c>
    </row>
    <row r="12" spans="1:10">
      <c r="B12" t="s">
        <v>208</v>
      </c>
    </row>
    <row r="13" spans="1:10">
      <c r="A13">
        <v>2</v>
      </c>
      <c r="B13" t="s">
        <v>209</v>
      </c>
    </row>
    <row r="14" spans="1:10">
      <c r="A14">
        <v>3</v>
      </c>
      <c r="B14" t="s">
        <v>210</v>
      </c>
    </row>
    <row r="15" spans="1:10">
      <c r="A15">
        <v>4</v>
      </c>
      <c r="B15" t="s">
        <v>211</v>
      </c>
    </row>
    <row r="16" spans="1:10">
      <c r="A16">
        <v>5</v>
      </c>
      <c r="B16" t="s">
        <v>212</v>
      </c>
    </row>
    <row r="17" spans="1:15">
      <c r="B17" t="s">
        <v>213</v>
      </c>
    </row>
    <row r="18" spans="1:15">
      <c r="B18" t="s">
        <v>214</v>
      </c>
    </row>
    <row r="19" spans="1:15">
      <c r="B19" t="s">
        <v>215</v>
      </c>
    </row>
    <row r="23" spans="1:15">
      <c r="A23" s="3" t="s">
        <v>216</v>
      </c>
      <c r="B23" s="3" t="s">
        <v>217</v>
      </c>
      <c r="C23" s="3" t="s">
        <v>218</v>
      </c>
    </row>
    <row r="24" spans="1:15">
      <c r="A24" s="3">
        <v>1000</v>
      </c>
      <c r="B24" s="3">
        <v>12</v>
      </c>
      <c r="C24" s="3">
        <v>0.1</v>
      </c>
      <c r="H24" t="s">
        <v>219</v>
      </c>
      <c r="I24" t="s">
        <v>220</v>
      </c>
    </row>
    <row r="26" spans="1:15">
      <c r="I26" s="3" t="s">
        <v>221</v>
      </c>
      <c r="J26" s="3">
        <f>A24*B24</f>
        <v>12000</v>
      </c>
    </row>
    <row r="27" spans="1:15">
      <c r="I27" s="3" t="s">
        <v>222</v>
      </c>
      <c r="J27" s="3">
        <f>J26*C24</f>
        <v>1200</v>
      </c>
    </row>
    <row r="31" spans="1:15">
      <c r="O31" t="s">
        <v>223</v>
      </c>
    </row>
    <row r="32" spans="1:15">
      <c r="A32" s="3" t="s">
        <v>182</v>
      </c>
      <c r="B32" s="3" t="s">
        <v>38</v>
      </c>
      <c r="C32" s="3" t="s">
        <v>224</v>
      </c>
      <c r="D32" s="3" t="s">
        <v>225</v>
      </c>
      <c r="E32" s="3" t="s">
        <v>226</v>
      </c>
      <c r="F32" s="3" t="s">
        <v>227</v>
      </c>
      <c r="O32" t="s">
        <v>228</v>
      </c>
    </row>
    <row r="33" spans="1:15">
      <c r="A33" s="3">
        <v>1</v>
      </c>
      <c r="B33" s="3" t="s">
        <v>229</v>
      </c>
      <c r="C33" s="3" t="s">
        <v>230</v>
      </c>
      <c r="D33" s="3" t="s">
        <v>231</v>
      </c>
      <c r="E33" s="3" t="s">
        <v>232</v>
      </c>
      <c r="F33" s="19" t="s">
        <v>233</v>
      </c>
      <c r="O33" t="s">
        <v>234</v>
      </c>
    </row>
    <row r="34" spans="1:15">
      <c r="A34" s="3">
        <v>2</v>
      </c>
      <c r="B34" s="3" t="s">
        <v>235</v>
      </c>
      <c r="C34" s="3" t="s">
        <v>236</v>
      </c>
      <c r="D34" s="3" t="s">
        <v>237</v>
      </c>
      <c r="E34" s="3" t="s">
        <v>238</v>
      </c>
      <c r="F34" s="19" t="s">
        <v>239</v>
      </c>
      <c r="I34" t="s">
        <v>240</v>
      </c>
      <c r="J34" t="s">
        <v>241</v>
      </c>
      <c r="O34" t="s">
        <v>242</v>
      </c>
    </row>
    <row r="35" spans="1:15">
      <c r="A35" s="3">
        <v>3</v>
      </c>
      <c r="B35" s="3" t="s">
        <v>243</v>
      </c>
      <c r="C35" s="3" t="s">
        <v>244</v>
      </c>
      <c r="D35" s="3" t="s">
        <v>245</v>
      </c>
      <c r="E35" s="3" t="s">
        <v>246</v>
      </c>
      <c r="F35" s="19" t="s">
        <v>247</v>
      </c>
    </row>
  </sheetData>
  <hyperlinks>
    <hyperlink ref="F33" r:id="rId1" xr:uid="{F324C575-A566-4809-A863-5169A6C8E43A}"/>
    <hyperlink ref="F34" r:id="rId2" xr:uid="{1104F3B0-20A4-4A34-AF55-2DAFFB6D2F59}"/>
    <hyperlink ref="F35" r:id="rId3" xr:uid="{BD8047D9-402E-46BF-8D51-A1119F6C16F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2026-10-30T07:12:50Z</dcterms:created>
  <dcterms:modified xsi:type="dcterms:W3CDTF">2026-10-30T08:07:02Z</dcterms:modified>
  <cp:category/>
  <cp:contentStatus/>
</cp:coreProperties>
</file>